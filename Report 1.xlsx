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zinzinayechan/Documents/3rd year 1st sem/BUSA3015/Report 1/"/>
    </mc:Choice>
  </mc:AlternateContent>
  <xr:revisionPtr revIDLastSave="0" documentId="13_ncr:1_{F66D8972-3584-8B4F-B914-1D7103AEAD75}" xr6:coauthVersionLast="47" xr6:coauthVersionMax="47" xr10:uidLastSave="{00000000-0000-0000-0000-000000000000}"/>
  <bookViews>
    <workbookView xWindow="0" yWindow="500" windowWidth="28800" windowHeight="16100" activeTab="6" xr2:uid="{00000000-000D-0000-FFFF-FFFF00000000}"/>
  </bookViews>
  <sheets>
    <sheet name="Data1" sheetId="1" r:id="rId1"/>
    <sheet name="Exercise 1 SES" sheetId="8" r:id="rId2"/>
    <sheet name="Exercise 1 SES (Optimised)" sheetId="5" r:id="rId3"/>
    <sheet name="Exercise 1 HES" sheetId="10" r:id="rId4"/>
    <sheet name="Exercise 1 HES (Optimised)" sheetId="11" r:id="rId5"/>
    <sheet name="Exercise 2 WES" sheetId="9" r:id="rId6"/>
    <sheet name="Exercise 2 WES (Optimised)" sheetId="7" r:id="rId7"/>
    <sheet name="Actual vs Forecast" sheetId="12" r:id="rId8"/>
  </sheets>
  <externalReferences>
    <externalReference r:id="rId9"/>
    <externalReference r:id="rId10"/>
  </externalReferences>
  <definedNames>
    <definedName name="A3348582J" localSheetId="3">'Exercise 1 HES'!#REF!,'Exercise 1 HES'!#REF!</definedName>
    <definedName name="A3348582J" localSheetId="4">'Exercise 1 HES (Optimised)'!#REF!,'Exercise 1 HES (Optimised)'!#REF!</definedName>
    <definedName name="A3348582J" localSheetId="1">'Exercise 1 SES'!#REF!,'Exercise 1 SES'!#REF!</definedName>
    <definedName name="A3348582J" localSheetId="2">'Exercise 1 SES (Optimised)'!#REF!,'Exercise 1 SES (Optimised)'!#REF!</definedName>
    <definedName name="A3348582J" localSheetId="5">'Exercise 2 WES'!#REF!,'Exercise 2 WES'!#REF!</definedName>
    <definedName name="A3348582J" localSheetId="6">'Exercise 2 WES (Optimised)'!#REF!,'Exercise 2 WES (Optimised)'!#REF!</definedName>
    <definedName name="A3348582J">Data1!$H$1:$H$10,Data1!$H$11:$H$517</definedName>
    <definedName name="A3348582J_Data" localSheetId="3">'Exercise 1 HES'!#REF!</definedName>
    <definedName name="A3348582J_Data" localSheetId="4">'Exercise 1 HES (Optimised)'!#REF!</definedName>
    <definedName name="A3348582J_Data" localSheetId="1">'Exercise 1 SES'!#REF!</definedName>
    <definedName name="A3348582J_Data" localSheetId="2">'Exercise 1 SES (Optimised)'!#REF!</definedName>
    <definedName name="A3348582J_Data" localSheetId="5">'Exercise 2 WES'!#REF!</definedName>
    <definedName name="A3348582J_Data" localSheetId="6">'Exercise 2 WES (Optimised)'!#REF!</definedName>
    <definedName name="A3348582J_Data">Data1!$H$11:$H$517</definedName>
    <definedName name="A3348582J_Latest" localSheetId="3">'Exercise 1 HES'!#REF!</definedName>
    <definedName name="A3348582J_Latest" localSheetId="4">'Exercise 1 HES (Optimised)'!#REF!</definedName>
    <definedName name="A3348582J_Latest" localSheetId="1">'Exercise 1 SES'!#REF!</definedName>
    <definedName name="A3348582J_Latest" localSheetId="2">'Exercise 1 SES (Optimised)'!#REF!</definedName>
    <definedName name="A3348582J_Latest" localSheetId="5">'Exercise 2 WES'!#REF!</definedName>
    <definedName name="A3348582J_Latest" localSheetId="6">'Exercise 2 WES (Optimised)'!#REF!</definedName>
    <definedName name="A3348582J_Latest">Data1!$H$517</definedName>
    <definedName name="A3348585R" localSheetId="3">'Exercise 1 HES'!#REF!,'Exercise 1 HES'!#REF!</definedName>
    <definedName name="A3348585R" localSheetId="4">'Exercise 1 HES (Optimised)'!#REF!,'Exercise 1 HES (Optimised)'!#REF!</definedName>
    <definedName name="A3348585R" localSheetId="1">'Exercise 1 SES'!#REF!,'Exercise 1 SES'!#REF!</definedName>
    <definedName name="A3348585R" localSheetId="2">'Exercise 1 SES (Optimised)'!#REF!,'Exercise 1 SES (Optimised)'!#REF!</definedName>
    <definedName name="A3348585R" localSheetId="5">'Exercise 2 WES'!#REF!,'Exercise 2 WES'!#REF!</definedName>
    <definedName name="A3348585R" localSheetId="6">'Exercise 2 WES (Optimised)'!#REF!,'Exercise 2 WES (Optimised)'!#REF!</definedName>
    <definedName name="A3348585R">Data1!$O$1:$O$10,Data1!$O$11:$O$517</definedName>
    <definedName name="A3348585R_Data" localSheetId="3">'Exercise 1 HES'!#REF!</definedName>
    <definedName name="A3348585R_Data" localSheetId="4">'Exercise 1 HES (Optimised)'!#REF!</definedName>
    <definedName name="A3348585R_Data" localSheetId="1">'Exercise 1 SES'!#REF!</definedName>
    <definedName name="A3348585R_Data" localSheetId="2">'Exercise 1 SES (Optimised)'!#REF!</definedName>
    <definedName name="A3348585R_Data" localSheetId="5">'Exercise 2 WES'!#REF!</definedName>
    <definedName name="A3348585R_Data" localSheetId="6">'Exercise 2 WES (Optimised)'!#REF!</definedName>
    <definedName name="A3348585R_Data">Data1!$O$11:$O$517</definedName>
    <definedName name="A3348585R_Latest" localSheetId="3">'Exercise 1 HES'!#REF!</definedName>
    <definedName name="A3348585R_Latest" localSheetId="4">'Exercise 1 HES (Optimised)'!#REF!</definedName>
    <definedName name="A3348585R_Latest" localSheetId="1">'Exercise 1 SES'!#REF!</definedName>
    <definedName name="A3348585R_Latest" localSheetId="2">'Exercise 1 SES (Optimised)'!#REF!</definedName>
    <definedName name="A3348585R_Latest" localSheetId="5">'Exercise 2 WES'!#REF!</definedName>
    <definedName name="A3348585R_Latest" localSheetId="6">'Exercise 2 WES (Optimised)'!#REF!</definedName>
    <definedName name="A3348585R_Latest">Data1!$O$517</definedName>
    <definedName name="A3348588W" localSheetId="3">'Exercise 1 HES'!#REF!,'Exercise 1 HES'!#REF!</definedName>
    <definedName name="A3348588W" localSheetId="4">'Exercise 1 HES (Optimised)'!#REF!,'Exercise 1 HES (Optimised)'!#REF!</definedName>
    <definedName name="A3348588W" localSheetId="1">'Exercise 1 SES'!#REF!,'Exercise 1 SES'!#REF!</definedName>
    <definedName name="A3348588W" localSheetId="2">'Exercise 1 SES (Optimised)'!#REF!,'Exercise 1 SES (Optimised)'!#REF!</definedName>
    <definedName name="A3348588W" localSheetId="5">'Exercise 2 WES'!#REF!,'Exercise 2 WES'!#REF!</definedName>
    <definedName name="A3348588W" localSheetId="6">'Exercise 2 WES (Optimised)'!#REF!,'Exercise 2 WES (Optimised)'!#REF!</definedName>
    <definedName name="A3348588W">Data1!$V$1:$V$10,Data1!$V$11:$V$517</definedName>
    <definedName name="A3348588W_Data" localSheetId="3">'Exercise 1 HES'!#REF!</definedName>
    <definedName name="A3348588W_Data" localSheetId="4">'Exercise 1 HES (Optimised)'!#REF!</definedName>
    <definedName name="A3348588W_Data" localSheetId="1">'Exercise 1 SES'!#REF!</definedName>
    <definedName name="A3348588W_Data" localSheetId="2">'Exercise 1 SES (Optimised)'!#REF!</definedName>
    <definedName name="A3348588W_Data" localSheetId="5">'Exercise 2 WES'!#REF!</definedName>
    <definedName name="A3348588W_Data" localSheetId="6">'Exercise 2 WES (Optimised)'!#REF!</definedName>
    <definedName name="A3348588W_Data">Data1!$V$11:$V$517</definedName>
    <definedName name="A3348588W_Latest" localSheetId="3">'Exercise 1 HES'!#REF!</definedName>
    <definedName name="A3348588W_Latest" localSheetId="4">'Exercise 1 HES (Optimised)'!#REF!</definedName>
    <definedName name="A3348588W_Latest" localSheetId="1">'Exercise 1 SES'!#REF!</definedName>
    <definedName name="A3348588W_Latest" localSheetId="2">'Exercise 1 SES (Optimised)'!#REF!</definedName>
    <definedName name="A3348588W_Latest" localSheetId="5">'Exercise 2 WES'!#REF!</definedName>
    <definedName name="A3348588W_Latest" localSheetId="6">'Exercise 2 WES (Optimised)'!#REF!</definedName>
    <definedName name="A3348588W_Latest">Data1!$V$517</definedName>
    <definedName name="A3348591K" localSheetId="3">'Exercise 1 HES'!#REF!,'Exercise 1 HES'!#REF!</definedName>
    <definedName name="A3348591K" localSheetId="4">'Exercise 1 HES (Optimised)'!#REF!,'Exercise 1 HES (Optimised)'!#REF!</definedName>
    <definedName name="A3348591K" localSheetId="1">'Exercise 1 SES'!#REF!,'Exercise 1 SES'!#REF!</definedName>
    <definedName name="A3348591K" localSheetId="2">'Exercise 1 SES (Optimised)'!#REF!,'Exercise 1 SES (Optimised)'!#REF!</definedName>
    <definedName name="A3348591K" localSheetId="5">'Exercise 2 WES'!#REF!,'Exercise 2 WES'!#REF!</definedName>
    <definedName name="A3348591K" localSheetId="6">'Exercise 2 WES (Optimised)'!#REF!,'Exercise 2 WES (Optimised)'!#REF!</definedName>
    <definedName name="A3348591K">Data1!$B$1:$B$10,Data1!$B$11:$B$517</definedName>
    <definedName name="A3348591K_Data" localSheetId="3">'Exercise 1 HES'!#REF!</definedName>
    <definedName name="A3348591K_Data" localSheetId="4">'Exercise 1 HES (Optimised)'!#REF!</definedName>
    <definedName name="A3348591K_Data" localSheetId="1">'Exercise 1 SES'!#REF!</definedName>
    <definedName name="A3348591K_Data" localSheetId="2">'Exercise 1 SES (Optimised)'!#REF!</definedName>
    <definedName name="A3348591K_Data" localSheetId="5">'Exercise 2 WES'!#REF!</definedName>
    <definedName name="A3348591K_Data" localSheetId="6">'Exercise 2 WES (Optimised)'!#REF!</definedName>
    <definedName name="A3348591K_Data">Data1!$B$11:$B$517</definedName>
    <definedName name="A3348591K_Latest" localSheetId="3">'Exercise 1 HES'!#REF!</definedName>
    <definedName name="A3348591K_Latest" localSheetId="4">'Exercise 1 HES (Optimised)'!#REF!</definedName>
    <definedName name="A3348591K_Latest" localSheetId="1">'Exercise 1 SES'!#REF!</definedName>
    <definedName name="A3348591K_Latest" localSheetId="2">'Exercise 1 SES (Optimised)'!#REF!</definedName>
    <definedName name="A3348591K_Latest" localSheetId="5">'Exercise 2 WES'!#REF!</definedName>
    <definedName name="A3348591K_Latest" localSheetId="6">'Exercise 2 WES (Optimised)'!#REF!</definedName>
    <definedName name="A3348591K_Latest">Data1!$B$517</definedName>
    <definedName name="A3348594T" localSheetId="3">'Exercise 1 HES'!#REF!,'Exercise 1 HES'!#REF!</definedName>
    <definedName name="A3348594T" localSheetId="4">'Exercise 1 HES (Optimised)'!#REF!,'Exercise 1 HES (Optimised)'!#REF!</definedName>
    <definedName name="A3348594T" localSheetId="1">'Exercise 1 SES'!#REF!,'Exercise 1 SES'!#REF!</definedName>
    <definedName name="A3348594T" localSheetId="2">'Exercise 1 SES (Optimised)'!#REF!,'Exercise 1 SES (Optimised)'!#REF!</definedName>
    <definedName name="A3348594T" localSheetId="5">'Exercise 2 WES'!#REF!,'Exercise 2 WES'!#REF!</definedName>
    <definedName name="A3348594T" localSheetId="6">'Exercise 2 WES (Optimised)'!#REF!,'Exercise 2 WES (Optimised)'!#REF!</definedName>
    <definedName name="A3348594T">Data1!$I$1:$I$10,Data1!$I$11:$I$517</definedName>
    <definedName name="A3348594T_Data" localSheetId="3">'Exercise 1 HES'!#REF!</definedName>
    <definedName name="A3348594T_Data" localSheetId="4">'Exercise 1 HES (Optimised)'!#REF!</definedName>
    <definedName name="A3348594T_Data" localSheetId="1">'Exercise 1 SES'!#REF!</definedName>
    <definedName name="A3348594T_Data" localSheetId="2">'Exercise 1 SES (Optimised)'!#REF!</definedName>
    <definedName name="A3348594T_Data" localSheetId="5">'Exercise 2 WES'!#REF!</definedName>
    <definedName name="A3348594T_Data" localSheetId="6">'Exercise 2 WES (Optimised)'!#REF!</definedName>
    <definedName name="A3348594T_Data">Data1!$I$11:$I$517</definedName>
    <definedName name="A3348594T_Latest" localSheetId="3">'Exercise 1 HES'!#REF!</definedName>
    <definedName name="A3348594T_Latest" localSheetId="4">'Exercise 1 HES (Optimised)'!#REF!</definedName>
    <definedName name="A3348594T_Latest" localSheetId="1">'Exercise 1 SES'!#REF!</definedName>
    <definedName name="A3348594T_Latest" localSheetId="2">'Exercise 1 SES (Optimised)'!#REF!</definedName>
    <definedName name="A3348594T_Latest" localSheetId="5">'Exercise 2 WES'!#REF!</definedName>
    <definedName name="A3348594T_Latest" localSheetId="6">'Exercise 2 WES (Optimised)'!#REF!</definedName>
    <definedName name="A3348594T_Latest">Data1!$I$517</definedName>
    <definedName name="A3348597X" localSheetId="3">'Exercise 1 HES'!#REF!,'Exercise 1 HES'!#REF!</definedName>
    <definedName name="A3348597X" localSheetId="4">'Exercise 1 HES (Optimised)'!#REF!,'Exercise 1 HES (Optimised)'!#REF!</definedName>
    <definedName name="A3348597X" localSheetId="1">'Exercise 1 SES'!#REF!,'Exercise 1 SES'!#REF!</definedName>
    <definedName name="A3348597X" localSheetId="2">'Exercise 1 SES (Optimised)'!#REF!,'Exercise 1 SES (Optimised)'!#REF!</definedName>
    <definedName name="A3348597X" localSheetId="5">'Exercise 2 WES'!#REF!,'Exercise 2 WES'!#REF!</definedName>
    <definedName name="A3348597X" localSheetId="6">'Exercise 2 WES (Optimised)'!#REF!,'Exercise 2 WES (Optimised)'!#REF!</definedName>
    <definedName name="A3348597X">Data1!$P$1:$P$10,Data1!$P$11:$P$517</definedName>
    <definedName name="A3348597X_Data" localSheetId="3">'Exercise 1 HES'!#REF!</definedName>
    <definedName name="A3348597X_Data" localSheetId="4">'Exercise 1 HES (Optimised)'!#REF!</definedName>
    <definedName name="A3348597X_Data" localSheetId="1">'Exercise 1 SES'!#REF!</definedName>
    <definedName name="A3348597X_Data" localSheetId="2">'Exercise 1 SES (Optimised)'!#REF!</definedName>
    <definedName name="A3348597X_Data" localSheetId="5">'Exercise 2 WES'!#REF!</definedName>
    <definedName name="A3348597X_Data" localSheetId="6">'Exercise 2 WES (Optimised)'!#REF!</definedName>
    <definedName name="A3348597X_Data">Data1!$P$11:$P$517</definedName>
    <definedName name="A3348597X_Latest" localSheetId="3">'Exercise 1 HES'!#REF!</definedName>
    <definedName name="A3348597X_Latest" localSheetId="4">'Exercise 1 HES (Optimised)'!#REF!</definedName>
    <definedName name="A3348597X_Latest" localSheetId="1">'Exercise 1 SES'!#REF!</definedName>
    <definedName name="A3348597X_Latest" localSheetId="2">'Exercise 1 SES (Optimised)'!#REF!</definedName>
    <definedName name="A3348597X_Latest" localSheetId="5">'Exercise 2 WES'!#REF!</definedName>
    <definedName name="A3348597X_Latest" localSheetId="6">'Exercise 2 WES (Optimised)'!#REF!</definedName>
    <definedName name="A3348597X_Latest">Data1!$P$517</definedName>
    <definedName name="A3348600A" localSheetId="3">'Exercise 1 HES'!#REF!,'Exercise 1 HES'!#REF!</definedName>
    <definedName name="A3348600A" localSheetId="4">'Exercise 1 HES (Optimised)'!#REF!,'Exercise 1 HES (Optimised)'!#REF!</definedName>
    <definedName name="A3348600A" localSheetId="1">'Exercise 1 SES'!#REF!,'Exercise 1 SES'!#REF!</definedName>
    <definedName name="A3348600A" localSheetId="2">'Exercise 1 SES (Optimised)'!#REF!,'Exercise 1 SES (Optimised)'!#REF!</definedName>
    <definedName name="A3348600A" localSheetId="5">'Exercise 2 WES'!#REF!,'Exercise 2 WES'!#REF!</definedName>
    <definedName name="A3348600A" localSheetId="6">'Exercise 2 WES (Optimised)'!#REF!,'Exercise 2 WES (Optimised)'!#REF!</definedName>
    <definedName name="A3348600A">Data1!$C$1:$C$10,Data1!$C$11:$C$517</definedName>
    <definedName name="A3348600A_Data" localSheetId="3">'Exercise 1 HES'!#REF!</definedName>
    <definedName name="A3348600A_Data" localSheetId="4">'Exercise 1 HES (Optimised)'!#REF!</definedName>
    <definedName name="A3348600A_Data" localSheetId="1">'Exercise 1 SES'!#REF!</definedName>
    <definedName name="A3348600A_Data" localSheetId="2">'Exercise 1 SES (Optimised)'!#REF!</definedName>
    <definedName name="A3348600A_Data" localSheetId="5">'Exercise 2 WES'!#REF!</definedName>
    <definedName name="A3348600A_Data" localSheetId="6">'Exercise 2 WES (Optimised)'!#REF!</definedName>
    <definedName name="A3348600A_Data">Data1!$C$11:$C$517</definedName>
    <definedName name="A3348600A_Latest" localSheetId="3">'Exercise 1 HES'!#REF!</definedName>
    <definedName name="A3348600A_Latest" localSheetId="4">'Exercise 1 HES (Optimised)'!#REF!</definedName>
    <definedName name="A3348600A_Latest" localSheetId="1">'Exercise 1 SES'!#REF!</definedName>
    <definedName name="A3348600A_Latest" localSheetId="2">'Exercise 1 SES (Optimised)'!#REF!</definedName>
    <definedName name="A3348600A_Latest" localSheetId="5">'Exercise 2 WES'!#REF!</definedName>
    <definedName name="A3348600A_Latest" localSheetId="6">'Exercise 2 WES (Optimised)'!#REF!</definedName>
    <definedName name="A3348600A_Latest">Data1!$C$517</definedName>
    <definedName name="A3348603J" localSheetId="3">'Exercise 1 HES'!#REF!,'Exercise 1 HES'!#REF!</definedName>
    <definedName name="A3348603J" localSheetId="4">'Exercise 1 HES (Optimised)'!#REF!,'Exercise 1 HES (Optimised)'!#REF!</definedName>
    <definedName name="A3348603J" localSheetId="1">'Exercise 1 SES'!#REF!,'Exercise 1 SES'!#REF!</definedName>
    <definedName name="A3348603J" localSheetId="2">'Exercise 1 SES (Optimised)'!#REF!,'Exercise 1 SES (Optimised)'!#REF!</definedName>
    <definedName name="A3348603J" localSheetId="5">'Exercise 2 WES'!#REF!,'Exercise 2 WES'!#REF!</definedName>
    <definedName name="A3348603J" localSheetId="6">'Exercise 2 WES (Optimised)'!#REF!,'Exercise 2 WES (Optimised)'!#REF!</definedName>
    <definedName name="A3348603J">Data1!$J$1:$J$10,Data1!$J$11:$J$517</definedName>
    <definedName name="A3348603J_Data" localSheetId="3">'Exercise 1 HES'!#REF!</definedName>
    <definedName name="A3348603J_Data" localSheetId="4">'Exercise 1 HES (Optimised)'!#REF!</definedName>
    <definedName name="A3348603J_Data" localSheetId="1">'Exercise 1 SES'!#REF!</definedName>
    <definedName name="A3348603J_Data" localSheetId="2">'Exercise 1 SES (Optimised)'!#REF!</definedName>
    <definedName name="A3348603J_Data" localSheetId="5">'Exercise 2 WES'!#REF!</definedName>
    <definedName name="A3348603J_Data" localSheetId="6">'Exercise 2 WES (Optimised)'!#REF!</definedName>
    <definedName name="A3348603J_Data">Data1!$J$11:$J$517</definedName>
    <definedName name="A3348603J_Latest" localSheetId="3">'Exercise 1 HES'!#REF!</definedName>
    <definedName name="A3348603J_Latest" localSheetId="4">'Exercise 1 HES (Optimised)'!#REF!</definedName>
    <definedName name="A3348603J_Latest" localSheetId="1">'Exercise 1 SES'!#REF!</definedName>
    <definedName name="A3348603J_Latest" localSheetId="2">'Exercise 1 SES (Optimised)'!#REF!</definedName>
    <definedName name="A3348603J_Latest" localSheetId="5">'Exercise 2 WES'!#REF!</definedName>
    <definedName name="A3348603J_Latest" localSheetId="6">'Exercise 2 WES (Optimised)'!#REF!</definedName>
    <definedName name="A3348603J_Latest">Data1!$J$517</definedName>
    <definedName name="A3348606R" localSheetId="3">'Exercise 1 HES'!#REF!,'Exercise 1 HES'!#REF!</definedName>
    <definedName name="A3348606R" localSheetId="4">'Exercise 1 HES (Optimised)'!#REF!,'Exercise 1 HES (Optimised)'!#REF!</definedName>
    <definedName name="A3348606R" localSheetId="1">'Exercise 1 SES'!#REF!,'Exercise 1 SES'!#REF!</definedName>
    <definedName name="A3348606R" localSheetId="2">'Exercise 1 SES (Optimised)'!#REF!,'Exercise 1 SES (Optimised)'!#REF!</definedName>
    <definedName name="A3348606R" localSheetId="5">'Exercise 2 WES'!#REF!,'Exercise 2 WES'!#REF!</definedName>
    <definedName name="A3348606R" localSheetId="6">'Exercise 2 WES (Optimised)'!#REF!,'Exercise 2 WES (Optimised)'!#REF!</definedName>
    <definedName name="A3348606R">Data1!$Q$1:$Q$10,Data1!$Q$11:$Q$517</definedName>
    <definedName name="A3348606R_Data" localSheetId="3">'Exercise 1 HES'!#REF!</definedName>
    <definedName name="A3348606R_Data" localSheetId="4">'Exercise 1 HES (Optimised)'!#REF!</definedName>
    <definedName name="A3348606R_Data" localSheetId="1">'Exercise 1 SES'!#REF!</definedName>
    <definedName name="A3348606R_Data" localSheetId="2">'Exercise 1 SES (Optimised)'!#REF!</definedName>
    <definedName name="A3348606R_Data" localSheetId="5">'Exercise 2 WES'!#REF!</definedName>
    <definedName name="A3348606R_Data" localSheetId="6">'Exercise 2 WES (Optimised)'!#REF!</definedName>
    <definedName name="A3348606R_Data">Data1!$Q$11:$Q$517</definedName>
    <definedName name="A3348606R_Latest" localSheetId="3">'Exercise 1 HES'!#REF!</definedName>
    <definedName name="A3348606R_Latest" localSheetId="4">'Exercise 1 HES (Optimised)'!#REF!</definedName>
    <definedName name="A3348606R_Latest" localSheetId="1">'Exercise 1 SES'!#REF!</definedName>
    <definedName name="A3348606R_Latest" localSheetId="2">'Exercise 1 SES (Optimised)'!#REF!</definedName>
    <definedName name="A3348606R_Latest" localSheetId="5">'Exercise 2 WES'!#REF!</definedName>
    <definedName name="A3348606R_Latest" localSheetId="6">'Exercise 2 WES (Optimised)'!#REF!</definedName>
    <definedName name="A3348606R_Latest">Data1!$Q$517</definedName>
    <definedName name="A3348609W" localSheetId="3">'Exercise 1 HES'!#REF!,'Exercise 1 HES'!#REF!</definedName>
    <definedName name="A3348609W" localSheetId="4">'Exercise 1 HES (Optimised)'!#REF!,'Exercise 1 HES (Optimised)'!#REF!</definedName>
    <definedName name="A3348609W" localSheetId="1">'Exercise 1 SES'!#REF!,'Exercise 1 SES'!#REF!</definedName>
    <definedName name="A3348609W" localSheetId="2">'Exercise 1 SES (Optimised)'!#REF!,'Exercise 1 SES (Optimised)'!#REF!</definedName>
    <definedName name="A3348609W" localSheetId="5">'Exercise 2 WES'!#REF!,'Exercise 2 WES'!#REF!</definedName>
    <definedName name="A3348609W" localSheetId="6">'Exercise 2 WES (Optimised)'!#REF!,'Exercise 2 WES (Optimised)'!#REF!</definedName>
    <definedName name="A3348609W">Data1!$D$1:$D$10,Data1!$D$11:$D$517</definedName>
    <definedName name="A3348609W_Data" localSheetId="3">'Exercise 1 HES'!#REF!</definedName>
    <definedName name="A3348609W_Data" localSheetId="4">'Exercise 1 HES (Optimised)'!#REF!</definedName>
    <definedName name="A3348609W_Data" localSheetId="1">'Exercise 1 SES'!#REF!</definedName>
    <definedName name="A3348609W_Data" localSheetId="2">'Exercise 1 SES (Optimised)'!#REF!</definedName>
    <definedName name="A3348609W_Data" localSheetId="5">'Exercise 2 WES'!#REF!</definedName>
    <definedName name="A3348609W_Data" localSheetId="6">'Exercise 2 WES (Optimised)'!#REF!</definedName>
    <definedName name="A3348609W_Data">Data1!$D$11:$D$517</definedName>
    <definedName name="A3348609W_Latest" localSheetId="3">'Exercise 1 HES'!#REF!</definedName>
    <definedName name="A3348609W_Latest" localSheetId="4">'Exercise 1 HES (Optimised)'!#REF!</definedName>
    <definedName name="A3348609W_Latest" localSheetId="1">'Exercise 1 SES'!#REF!</definedName>
    <definedName name="A3348609W_Latest" localSheetId="2">'Exercise 1 SES (Optimised)'!#REF!</definedName>
    <definedName name="A3348609W_Latest" localSheetId="5">'Exercise 2 WES'!#REF!</definedName>
    <definedName name="A3348609W_Latest" localSheetId="6">'Exercise 2 WES (Optimised)'!#REF!</definedName>
    <definedName name="A3348609W_Latest">Data1!$D$517</definedName>
    <definedName name="A3348612K" localSheetId="3">'Exercise 1 HES'!#REF!,'Exercise 1 HES'!#REF!</definedName>
    <definedName name="A3348612K" localSheetId="4">'Exercise 1 HES (Optimised)'!#REF!,'Exercise 1 HES (Optimised)'!#REF!</definedName>
    <definedName name="A3348612K" localSheetId="1">'Exercise 1 SES'!#REF!,'Exercise 1 SES'!#REF!</definedName>
    <definedName name="A3348612K" localSheetId="2">'Exercise 1 SES (Optimised)'!#REF!,'Exercise 1 SES (Optimised)'!#REF!</definedName>
    <definedName name="A3348612K" localSheetId="5">'Exercise 2 WES'!#REF!,'Exercise 2 WES'!#REF!</definedName>
    <definedName name="A3348612K" localSheetId="6">'Exercise 2 WES (Optimised)'!#REF!,'Exercise 2 WES (Optimised)'!#REF!</definedName>
    <definedName name="A3348612K">Data1!$K$1:$K$10,Data1!$K$11:$K$517</definedName>
    <definedName name="A3348612K_Data" localSheetId="3">'Exercise 1 HES'!#REF!</definedName>
    <definedName name="A3348612K_Data" localSheetId="4">'Exercise 1 HES (Optimised)'!#REF!</definedName>
    <definedName name="A3348612K_Data" localSheetId="1">'Exercise 1 SES'!#REF!</definedName>
    <definedName name="A3348612K_Data" localSheetId="2">'Exercise 1 SES (Optimised)'!#REF!</definedName>
    <definedName name="A3348612K_Data" localSheetId="5">'Exercise 2 WES'!#REF!</definedName>
    <definedName name="A3348612K_Data" localSheetId="6">'Exercise 2 WES (Optimised)'!#REF!</definedName>
    <definedName name="A3348612K_Data">Data1!$K$11:$K$517</definedName>
    <definedName name="A3348612K_Latest" localSheetId="3">'Exercise 1 HES'!#REF!</definedName>
    <definedName name="A3348612K_Latest" localSheetId="4">'Exercise 1 HES (Optimised)'!#REF!</definedName>
    <definedName name="A3348612K_Latest" localSheetId="1">'Exercise 1 SES'!#REF!</definedName>
    <definedName name="A3348612K_Latest" localSheetId="2">'Exercise 1 SES (Optimised)'!#REF!</definedName>
    <definedName name="A3348612K_Latest" localSheetId="5">'Exercise 2 WES'!#REF!</definedName>
    <definedName name="A3348612K_Latest" localSheetId="6">'Exercise 2 WES (Optimised)'!#REF!</definedName>
    <definedName name="A3348612K_Latest">Data1!$K$517</definedName>
    <definedName name="A3348615T" localSheetId="3">'Exercise 1 HES'!#REF!,'Exercise 1 HES'!#REF!</definedName>
    <definedName name="A3348615T" localSheetId="4">'Exercise 1 HES (Optimised)'!#REF!,'Exercise 1 HES (Optimised)'!#REF!</definedName>
    <definedName name="A3348615T" localSheetId="1">'Exercise 1 SES'!#REF!,'Exercise 1 SES'!#REF!</definedName>
    <definedName name="A3348615T" localSheetId="2">'Exercise 1 SES (Optimised)'!#REF!,'Exercise 1 SES (Optimised)'!#REF!</definedName>
    <definedName name="A3348615T" localSheetId="5">'Exercise 2 WES'!#REF!,'Exercise 2 WES'!#REF!</definedName>
    <definedName name="A3348615T" localSheetId="6">'Exercise 2 WES (Optimised)'!#REF!,'Exercise 2 WES (Optimised)'!#REF!</definedName>
    <definedName name="A3348615T">Data1!$R$1:$R$10,Data1!$R$11:$R$517</definedName>
    <definedName name="A3348615T_Data" localSheetId="3">'Exercise 1 HES'!#REF!</definedName>
    <definedName name="A3348615T_Data" localSheetId="4">'Exercise 1 HES (Optimised)'!#REF!</definedName>
    <definedName name="A3348615T_Data" localSheetId="1">'Exercise 1 SES'!#REF!</definedName>
    <definedName name="A3348615T_Data" localSheetId="2">'Exercise 1 SES (Optimised)'!#REF!</definedName>
    <definedName name="A3348615T_Data" localSheetId="5">'Exercise 2 WES'!#REF!</definedName>
    <definedName name="A3348615T_Data" localSheetId="6">'Exercise 2 WES (Optimised)'!#REF!</definedName>
    <definedName name="A3348615T_Data">Data1!$R$11:$R$517</definedName>
    <definedName name="A3348615T_Latest" localSheetId="3">'Exercise 1 HES'!#REF!</definedName>
    <definedName name="A3348615T_Latest" localSheetId="4">'Exercise 1 HES (Optimised)'!#REF!</definedName>
    <definedName name="A3348615T_Latest" localSheetId="1">'Exercise 1 SES'!#REF!</definedName>
    <definedName name="A3348615T_Latest" localSheetId="2">'Exercise 1 SES (Optimised)'!#REF!</definedName>
    <definedName name="A3348615T_Latest" localSheetId="5">'Exercise 2 WES'!#REF!</definedName>
    <definedName name="A3348615T_Latest" localSheetId="6">'Exercise 2 WES (Optimised)'!#REF!</definedName>
    <definedName name="A3348615T_Latest">Data1!$R$517</definedName>
    <definedName name="A3348618X" localSheetId="3">'Exercise 1 HES'!#REF!,'Exercise 1 HES'!#REF!</definedName>
    <definedName name="A3348618X" localSheetId="4">'Exercise 1 HES (Optimised)'!#REF!,'Exercise 1 HES (Optimised)'!#REF!</definedName>
    <definedName name="A3348618X" localSheetId="1">'Exercise 1 SES'!#REF!,'Exercise 1 SES'!#REF!</definedName>
    <definedName name="A3348618X" localSheetId="2">'Exercise 1 SES (Optimised)'!#REF!,'Exercise 1 SES (Optimised)'!#REF!</definedName>
    <definedName name="A3348618X" localSheetId="5">'Exercise 2 WES'!$B$1:$B$1,'Exercise 2 WES'!$B$2:$B$97</definedName>
    <definedName name="A3348618X" localSheetId="6">'Exercise 2 WES (Optimised)'!$B$1:$B$1,'Exercise 2 WES (Optimised)'!$B$2:$B$97</definedName>
    <definedName name="A3348618X">Data1!$E$1:$E$10,Data1!$E$11:$E$517</definedName>
    <definedName name="A3348618X_Data" localSheetId="3">'Exercise 1 HES'!#REF!</definedName>
    <definedName name="A3348618X_Data" localSheetId="4">'Exercise 1 HES (Optimised)'!#REF!</definedName>
    <definedName name="A3348618X_Data" localSheetId="1">'Exercise 1 SES'!#REF!</definedName>
    <definedName name="A3348618X_Data" localSheetId="2">'Exercise 1 SES (Optimised)'!#REF!</definedName>
    <definedName name="A3348618X_Data" localSheetId="5">'Exercise 2 WES'!$B$2:$B$97</definedName>
    <definedName name="A3348618X_Data" localSheetId="6">'Exercise 2 WES (Optimised)'!$B$2:$B$97</definedName>
    <definedName name="A3348618X_Data">Data1!$E$11:$E$517</definedName>
    <definedName name="A3348618X_Latest" localSheetId="3">'Exercise 1 HES'!#REF!</definedName>
    <definedName name="A3348618X_Latest" localSheetId="4">'Exercise 1 HES (Optimised)'!#REF!</definedName>
    <definedName name="A3348618X_Latest" localSheetId="1">'Exercise 1 SES'!#REF!</definedName>
    <definedName name="A3348618X_Latest" localSheetId="2">'Exercise 1 SES (Optimised)'!#REF!</definedName>
    <definedName name="A3348618X_Latest" localSheetId="5">'Exercise 2 WES'!#REF!</definedName>
    <definedName name="A3348618X_Latest" localSheetId="6">'Exercise 2 WES (Optimised)'!#REF!</definedName>
    <definedName name="A3348618X_Latest">Data1!$E$517</definedName>
    <definedName name="A3348621L" localSheetId="3">'Exercise 1 HES'!$B$1:$B$1,'Exercise 1 HES'!$B$2:$B$97</definedName>
    <definedName name="A3348621L" localSheetId="4">'Exercise 1 HES (Optimised)'!$B$1:$B$1,'Exercise 1 HES (Optimised)'!$B$2:$B$97</definedName>
    <definedName name="A3348621L" localSheetId="1">'Exercise 1 SES'!$B$1:$B$1,'Exercise 1 SES'!$B$2:$B$97</definedName>
    <definedName name="A3348621L" localSheetId="2">'Exercise 1 SES (Optimised)'!$B$1:$B$1,'Exercise 1 SES (Optimised)'!$B$2:$B$97</definedName>
    <definedName name="A3348621L" localSheetId="5">'Exercise 2 WES'!#REF!,'Exercise 2 WES'!#REF!</definedName>
    <definedName name="A3348621L" localSheetId="6">'Exercise 2 WES (Optimised)'!#REF!,'Exercise 2 WES (Optimised)'!#REF!</definedName>
    <definedName name="A3348621L">Data1!$L$1:$L$10,Data1!$L$11:$L$517</definedName>
    <definedName name="A3348621L_Data" localSheetId="3">'Exercise 1 HES'!$B$2:$B$97</definedName>
    <definedName name="A3348621L_Data" localSheetId="4">'Exercise 1 HES (Optimised)'!$B$2:$B$97</definedName>
    <definedName name="A3348621L_Data" localSheetId="1">'Exercise 1 SES'!$B$2:$B$97</definedName>
    <definedName name="A3348621L_Data" localSheetId="2">'Exercise 1 SES (Optimised)'!$B$2:$B$97</definedName>
    <definedName name="A3348621L_Data" localSheetId="5">'Exercise 2 WES'!#REF!</definedName>
    <definedName name="A3348621L_Data" localSheetId="6">'Exercise 2 WES (Optimised)'!#REF!</definedName>
    <definedName name="A3348621L_Data">Data1!$L$11:$L$517</definedName>
    <definedName name="A3348621L_Latest" localSheetId="3">'Exercise 1 HES'!#REF!</definedName>
    <definedName name="A3348621L_Latest" localSheetId="4">'Exercise 1 HES (Optimised)'!#REF!</definedName>
    <definedName name="A3348621L_Latest" localSheetId="1">'Exercise 1 SES'!#REF!</definedName>
    <definedName name="A3348621L_Latest" localSheetId="2">'Exercise 1 SES (Optimised)'!#REF!</definedName>
    <definedName name="A3348621L_Latest" localSheetId="5">'Exercise 2 WES'!#REF!</definedName>
    <definedName name="A3348621L_Latest" localSheetId="6">'Exercise 2 WES (Optimised)'!#REF!</definedName>
    <definedName name="A3348621L_Latest">Data1!$L$517</definedName>
    <definedName name="A3348624V" localSheetId="3">'Exercise 1 HES'!#REF!,'Exercise 1 HES'!#REF!</definedName>
    <definedName name="A3348624V" localSheetId="4">'Exercise 1 HES (Optimised)'!#REF!,'Exercise 1 HES (Optimised)'!#REF!</definedName>
    <definedName name="A3348624V" localSheetId="1">'Exercise 1 SES'!#REF!,'Exercise 1 SES'!#REF!</definedName>
    <definedName name="A3348624V" localSheetId="2">'Exercise 1 SES (Optimised)'!#REF!,'Exercise 1 SES (Optimised)'!#REF!</definedName>
    <definedName name="A3348624V" localSheetId="5">'Exercise 2 WES'!#REF!,'Exercise 2 WES'!#REF!</definedName>
    <definedName name="A3348624V" localSheetId="6">'Exercise 2 WES (Optimised)'!#REF!,'Exercise 2 WES (Optimised)'!#REF!</definedName>
    <definedName name="A3348624V">Data1!$S$1:$S$10,Data1!$S$11:$S$517</definedName>
    <definedName name="A3348624V_Data" localSheetId="3">'Exercise 1 HES'!#REF!</definedName>
    <definedName name="A3348624V_Data" localSheetId="4">'Exercise 1 HES (Optimised)'!#REF!</definedName>
    <definedName name="A3348624V_Data" localSheetId="1">'Exercise 1 SES'!#REF!</definedName>
    <definedName name="A3348624V_Data" localSheetId="2">'Exercise 1 SES (Optimised)'!#REF!</definedName>
    <definedName name="A3348624V_Data" localSheetId="5">'Exercise 2 WES'!#REF!</definedName>
    <definedName name="A3348624V_Data" localSheetId="6">'Exercise 2 WES (Optimised)'!#REF!</definedName>
    <definedName name="A3348624V_Data">Data1!$S$11:$S$517</definedName>
    <definedName name="A3348624V_Latest" localSheetId="3">'Exercise 1 HES'!#REF!</definedName>
    <definedName name="A3348624V_Latest" localSheetId="4">'Exercise 1 HES (Optimised)'!#REF!</definedName>
    <definedName name="A3348624V_Latest" localSheetId="1">'Exercise 1 SES'!#REF!</definedName>
    <definedName name="A3348624V_Latest" localSheetId="2">'Exercise 1 SES (Optimised)'!#REF!</definedName>
    <definedName name="A3348624V_Latest" localSheetId="5">'Exercise 2 WES'!#REF!</definedName>
    <definedName name="A3348624V_Latest" localSheetId="6">'Exercise 2 WES (Optimised)'!#REF!</definedName>
    <definedName name="A3348624V_Latest">Data1!$S$517</definedName>
    <definedName name="A3348627A" localSheetId="3">'Exercise 1 HES'!#REF!,'Exercise 1 HES'!#REF!</definedName>
    <definedName name="A3348627A" localSheetId="4">'Exercise 1 HES (Optimised)'!#REF!,'Exercise 1 HES (Optimised)'!#REF!</definedName>
    <definedName name="A3348627A" localSheetId="1">'Exercise 1 SES'!#REF!,'Exercise 1 SES'!#REF!</definedName>
    <definedName name="A3348627A" localSheetId="2">'Exercise 1 SES (Optimised)'!#REF!,'Exercise 1 SES (Optimised)'!#REF!</definedName>
    <definedName name="A3348627A" localSheetId="5">'Exercise 2 WES'!#REF!,'Exercise 2 WES'!#REF!</definedName>
    <definedName name="A3348627A" localSheetId="6">'Exercise 2 WES (Optimised)'!#REF!,'Exercise 2 WES (Optimised)'!#REF!</definedName>
    <definedName name="A3348627A">Data1!$F$1:$F$10,Data1!$F$11:$F$517</definedName>
    <definedName name="A3348627A_Data" localSheetId="3">'Exercise 1 HES'!#REF!</definedName>
    <definedName name="A3348627A_Data" localSheetId="4">'Exercise 1 HES (Optimised)'!#REF!</definedName>
    <definedName name="A3348627A_Data" localSheetId="1">'Exercise 1 SES'!#REF!</definedName>
    <definedName name="A3348627A_Data" localSheetId="2">'Exercise 1 SES (Optimised)'!#REF!</definedName>
    <definedName name="A3348627A_Data" localSheetId="5">'Exercise 2 WES'!#REF!</definedName>
    <definedName name="A3348627A_Data" localSheetId="6">'Exercise 2 WES (Optimised)'!#REF!</definedName>
    <definedName name="A3348627A_Data">Data1!$F$11:$F$517</definedName>
    <definedName name="A3348627A_Latest" localSheetId="3">'Exercise 1 HES'!#REF!</definedName>
    <definedName name="A3348627A_Latest" localSheetId="4">'Exercise 1 HES (Optimised)'!#REF!</definedName>
    <definedName name="A3348627A_Latest" localSheetId="1">'Exercise 1 SES'!#REF!</definedName>
    <definedName name="A3348627A_Latest" localSheetId="2">'Exercise 1 SES (Optimised)'!#REF!</definedName>
    <definedName name="A3348627A_Latest" localSheetId="5">'Exercise 2 WES'!#REF!</definedName>
    <definedName name="A3348627A_Latest" localSheetId="6">'Exercise 2 WES (Optimised)'!#REF!</definedName>
    <definedName name="A3348627A_Latest">Data1!$F$517</definedName>
    <definedName name="A3348630R" localSheetId="3">'Exercise 1 HES'!#REF!,'Exercise 1 HES'!#REF!</definedName>
    <definedName name="A3348630R" localSheetId="4">'Exercise 1 HES (Optimised)'!#REF!,'Exercise 1 HES (Optimised)'!#REF!</definedName>
    <definedName name="A3348630R" localSheetId="1">'Exercise 1 SES'!#REF!,'Exercise 1 SES'!#REF!</definedName>
    <definedName name="A3348630R" localSheetId="2">'Exercise 1 SES (Optimised)'!#REF!,'Exercise 1 SES (Optimised)'!#REF!</definedName>
    <definedName name="A3348630R" localSheetId="5">'Exercise 2 WES'!#REF!,'Exercise 2 WES'!#REF!</definedName>
    <definedName name="A3348630R" localSheetId="6">'Exercise 2 WES (Optimised)'!#REF!,'Exercise 2 WES (Optimised)'!#REF!</definedName>
    <definedName name="A3348630R">Data1!$M$1:$M$10,Data1!$M$11:$M$517</definedName>
    <definedName name="A3348630R_Data" localSheetId="3">'Exercise 1 HES'!#REF!</definedName>
    <definedName name="A3348630R_Data" localSheetId="4">'Exercise 1 HES (Optimised)'!#REF!</definedName>
    <definedName name="A3348630R_Data" localSheetId="1">'Exercise 1 SES'!#REF!</definedName>
    <definedName name="A3348630R_Data" localSheetId="2">'Exercise 1 SES (Optimised)'!#REF!</definedName>
    <definedName name="A3348630R_Data" localSheetId="5">'Exercise 2 WES'!#REF!</definedName>
    <definedName name="A3348630R_Data" localSheetId="6">'Exercise 2 WES (Optimised)'!#REF!</definedName>
    <definedName name="A3348630R_Data">Data1!$M$11:$M$517</definedName>
    <definedName name="A3348630R_Latest" localSheetId="3">'Exercise 1 HES'!#REF!</definedName>
    <definedName name="A3348630R_Latest" localSheetId="4">'Exercise 1 HES (Optimised)'!#REF!</definedName>
    <definedName name="A3348630R_Latest" localSheetId="1">'Exercise 1 SES'!#REF!</definedName>
    <definedName name="A3348630R_Latest" localSheetId="2">'Exercise 1 SES (Optimised)'!#REF!</definedName>
    <definedName name="A3348630R_Latest" localSheetId="5">'Exercise 2 WES'!#REF!</definedName>
    <definedName name="A3348630R_Latest" localSheetId="6">'Exercise 2 WES (Optimised)'!#REF!</definedName>
    <definedName name="A3348630R_Latest">Data1!$M$517</definedName>
    <definedName name="A3348633W" localSheetId="3">'Exercise 1 HES'!#REF!,'Exercise 1 HES'!#REF!</definedName>
    <definedName name="A3348633W" localSheetId="4">'Exercise 1 HES (Optimised)'!#REF!,'Exercise 1 HES (Optimised)'!#REF!</definedName>
    <definedName name="A3348633W" localSheetId="1">'Exercise 1 SES'!#REF!,'Exercise 1 SES'!#REF!</definedName>
    <definedName name="A3348633W" localSheetId="2">'Exercise 1 SES (Optimised)'!#REF!,'Exercise 1 SES (Optimised)'!#REF!</definedName>
    <definedName name="A3348633W" localSheetId="5">'Exercise 2 WES'!#REF!,'Exercise 2 WES'!#REF!</definedName>
    <definedName name="A3348633W" localSheetId="6">'Exercise 2 WES (Optimised)'!#REF!,'Exercise 2 WES (Optimised)'!#REF!</definedName>
    <definedName name="A3348633W">Data1!$T$1:$T$10,Data1!$T$11:$T$517</definedName>
    <definedName name="A3348633W_Data" localSheetId="3">'Exercise 1 HES'!#REF!</definedName>
    <definedName name="A3348633W_Data" localSheetId="4">'Exercise 1 HES (Optimised)'!#REF!</definedName>
    <definedName name="A3348633W_Data" localSheetId="1">'Exercise 1 SES'!#REF!</definedName>
    <definedName name="A3348633W_Data" localSheetId="2">'Exercise 1 SES (Optimised)'!#REF!</definedName>
    <definedName name="A3348633W_Data" localSheetId="5">'Exercise 2 WES'!#REF!</definedName>
    <definedName name="A3348633W_Data" localSheetId="6">'Exercise 2 WES (Optimised)'!#REF!</definedName>
    <definedName name="A3348633W_Data">Data1!$T$11:$T$517</definedName>
    <definedName name="A3348633W_Latest" localSheetId="3">'Exercise 1 HES'!#REF!</definedName>
    <definedName name="A3348633W_Latest" localSheetId="4">'Exercise 1 HES (Optimised)'!#REF!</definedName>
    <definedName name="A3348633W_Latest" localSheetId="1">'Exercise 1 SES'!#REF!</definedName>
    <definedName name="A3348633W_Latest" localSheetId="2">'Exercise 1 SES (Optimised)'!#REF!</definedName>
    <definedName name="A3348633W_Latest" localSheetId="5">'Exercise 2 WES'!#REF!</definedName>
    <definedName name="A3348633W_Latest" localSheetId="6">'Exercise 2 WES (Optimised)'!#REF!</definedName>
    <definedName name="A3348633W_Latest">Data1!$T$517</definedName>
    <definedName name="A3348636C" localSheetId="3">'Exercise 1 HES'!#REF!,'Exercise 1 HES'!#REF!</definedName>
    <definedName name="A3348636C" localSheetId="4">'Exercise 1 HES (Optimised)'!#REF!,'Exercise 1 HES (Optimised)'!#REF!</definedName>
    <definedName name="A3348636C" localSheetId="1">'Exercise 1 SES'!#REF!,'Exercise 1 SES'!#REF!</definedName>
    <definedName name="A3348636C" localSheetId="2">'Exercise 1 SES (Optimised)'!#REF!,'Exercise 1 SES (Optimised)'!#REF!</definedName>
    <definedName name="A3348636C" localSheetId="5">'Exercise 2 WES'!#REF!,'Exercise 2 WES'!#REF!</definedName>
    <definedName name="A3348636C" localSheetId="6">'Exercise 2 WES (Optimised)'!#REF!,'Exercise 2 WES (Optimised)'!#REF!</definedName>
    <definedName name="A3348636C">Data1!$G$1:$G$10,Data1!$G$11:$G$517</definedName>
    <definedName name="A3348636C_Data" localSheetId="3">'Exercise 1 HES'!#REF!</definedName>
    <definedName name="A3348636C_Data" localSheetId="4">'Exercise 1 HES (Optimised)'!#REF!</definedName>
    <definedName name="A3348636C_Data" localSheetId="1">'Exercise 1 SES'!#REF!</definedName>
    <definedName name="A3348636C_Data" localSheetId="2">'Exercise 1 SES (Optimised)'!#REF!</definedName>
    <definedName name="A3348636C_Data" localSheetId="5">'Exercise 2 WES'!#REF!</definedName>
    <definedName name="A3348636C_Data" localSheetId="6">'Exercise 2 WES (Optimised)'!#REF!</definedName>
    <definedName name="A3348636C_Data">Data1!$G$11:$G$517</definedName>
    <definedName name="A3348636C_Latest" localSheetId="3">'Exercise 1 HES'!#REF!</definedName>
    <definedName name="A3348636C_Latest" localSheetId="4">'Exercise 1 HES (Optimised)'!#REF!</definedName>
    <definedName name="A3348636C_Latest" localSheetId="1">'Exercise 1 SES'!#REF!</definedName>
    <definedName name="A3348636C_Latest" localSheetId="2">'Exercise 1 SES (Optimised)'!#REF!</definedName>
    <definedName name="A3348636C_Latest" localSheetId="5">'Exercise 2 WES'!#REF!</definedName>
    <definedName name="A3348636C_Latest" localSheetId="6">'Exercise 2 WES (Optimised)'!#REF!</definedName>
    <definedName name="A3348636C_Latest">Data1!$G$517</definedName>
    <definedName name="A3348639K" localSheetId="3">'Exercise 1 HES'!#REF!,'Exercise 1 HES'!#REF!</definedName>
    <definedName name="A3348639K" localSheetId="4">'Exercise 1 HES (Optimised)'!#REF!,'Exercise 1 HES (Optimised)'!#REF!</definedName>
    <definedName name="A3348639K" localSheetId="1">'Exercise 1 SES'!#REF!,'Exercise 1 SES'!#REF!</definedName>
    <definedName name="A3348639K" localSheetId="2">'Exercise 1 SES (Optimised)'!#REF!,'Exercise 1 SES (Optimised)'!#REF!</definedName>
    <definedName name="A3348639K" localSheetId="5">'Exercise 2 WES'!#REF!,'Exercise 2 WES'!#REF!</definedName>
    <definedName name="A3348639K" localSheetId="6">'Exercise 2 WES (Optimised)'!#REF!,'Exercise 2 WES (Optimised)'!#REF!</definedName>
    <definedName name="A3348639K">Data1!$N$1:$N$10,Data1!$N$11:$N$517</definedName>
    <definedName name="A3348639K_Data" localSheetId="3">'Exercise 1 HES'!#REF!</definedName>
    <definedName name="A3348639K_Data" localSheetId="4">'Exercise 1 HES (Optimised)'!#REF!</definedName>
    <definedName name="A3348639K_Data" localSheetId="1">'Exercise 1 SES'!#REF!</definedName>
    <definedName name="A3348639K_Data" localSheetId="2">'Exercise 1 SES (Optimised)'!#REF!</definedName>
    <definedName name="A3348639K_Data" localSheetId="5">'Exercise 2 WES'!#REF!</definedName>
    <definedName name="A3348639K_Data" localSheetId="6">'Exercise 2 WES (Optimised)'!#REF!</definedName>
    <definedName name="A3348639K_Data">Data1!$N$11:$N$517</definedName>
    <definedName name="A3348639K_Latest" localSheetId="3">'Exercise 1 HES'!#REF!</definedName>
    <definedName name="A3348639K_Latest" localSheetId="4">'Exercise 1 HES (Optimised)'!#REF!</definedName>
    <definedName name="A3348639K_Latest" localSheetId="1">'Exercise 1 SES'!#REF!</definedName>
    <definedName name="A3348639K_Latest" localSheetId="2">'Exercise 1 SES (Optimised)'!#REF!</definedName>
    <definedName name="A3348639K_Latest" localSheetId="5">'Exercise 2 WES'!#REF!</definedName>
    <definedName name="A3348639K_Latest" localSheetId="6">'Exercise 2 WES (Optimised)'!#REF!</definedName>
    <definedName name="A3348639K_Latest">Data1!$N$517</definedName>
    <definedName name="A3348642X" localSheetId="3">'Exercise 1 HES'!#REF!,'Exercise 1 HES'!#REF!</definedName>
    <definedName name="A3348642X" localSheetId="4">'Exercise 1 HES (Optimised)'!#REF!,'Exercise 1 HES (Optimised)'!#REF!</definedName>
    <definedName name="A3348642X" localSheetId="1">'Exercise 1 SES'!#REF!,'Exercise 1 SES'!#REF!</definedName>
    <definedName name="A3348642X" localSheetId="2">'Exercise 1 SES (Optimised)'!#REF!,'Exercise 1 SES (Optimised)'!#REF!</definedName>
    <definedName name="A3348642X" localSheetId="5">'Exercise 2 WES'!#REF!,'Exercise 2 WES'!#REF!</definedName>
    <definedName name="A3348642X" localSheetId="6">'Exercise 2 WES (Optimised)'!#REF!,'Exercise 2 WES (Optimised)'!#REF!</definedName>
    <definedName name="A3348642X">Data1!$U$1:$U$10,Data1!$U$11:$U$517</definedName>
    <definedName name="A3348642X_Data" localSheetId="3">'Exercise 1 HES'!#REF!</definedName>
    <definedName name="A3348642X_Data" localSheetId="4">'Exercise 1 HES (Optimised)'!#REF!</definedName>
    <definedName name="A3348642X_Data" localSheetId="1">'Exercise 1 SES'!#REF!</definedName>
    <definedName name="A3348642X_Data" localSheetId="2">'Exercise 1 SES (Optimised)'!#REF!</definedName>
    <definedName name="A3348642X_Data" localSheetId="5">'Exercise 2 WES'!#REF!</definedName>
    <definedName name="A3348642X_Data" localSheetId="6">'Exercise 2 WES (Optimised)'!#REF!</definedName>
    <definedName name="A3348642X_Data">Data1!$U$11:$U$517</definedName>
    <definedName name="A3348642X_Latest" localSheetId="3">'Exercise 1 HES'!#REF!</definedName>
    <definedName name="A3348642X_Latest" localSheetId="4">'Exercise 1 HES (Optimised)'!#REF!</definedName>
    <definedName name="A3348642X_Latest" localSheetId="1">'Exercise 1 SES'!#REF!</definedName>
    <definedName name="A3348642X_Latest" localSheetId="2">'Exercise 1 SES (Optimised)'!#REF!</definedName>
    <definedName name="A3348642X_Latest" localSheetId="5">'Exercise 2 WES'!#REF!</definedName>
    <definedName name="A3348642X_Latest" localSheetId="6">'Exercise 2 WES (Optimised)'!#REF!</definedName>
    <definedName name="A3348642X_Latest">Data1!$U$517</definedName>
    <definedName name="Date_Range" localSheetId="3">'Exercise 1 HES'!#REF!,'Exercise 1 HES'!$A$2:$A$97</definedName>
    <definedName name="Date_Range" localSheetId="4">'Exercise 1 HES (Optimised)'!#REF!,'Exercise 1 HES (Optimised)'!$A$2:$A$97</definedName>
    <definedName name="Date_Range" localSheetId="1">'Exercise 1 SES'!#REF!,'Exercise 1 SES'!$A$2:$A$97</definedName>
    <definedName name="Date_Range" localSheetId="2">'Exercise 1 SES (Optimised)'!#REF!,'Exercise 1 SES (Optimised)'!$A$2:$A$97</definedName>
    <definedName name="Date_Range" localSheetId="5">'Exercise 2 WES'!#REF!,'Exercise 2 WES'!$A$2:$A$97</definedName>
    <definedName name="Date_Range" localSheetId="6">'Exercise 2 WES (Optimised)'!#REF!,'Exercise 2 WES (Optimised)'!$A$2:$A$97</definedName>
    <definedName name="Date_Range">Data1!$A$2:$A$10,Data1!$A$11:$A$517</definedName>
    <definedName name="Date_Range_Data" localSheetId="3">'Exercise 1 HES'!$A$2:$A$97</definedName>
    <definedName name="Date_Range_Data" localSheetId="4">'Exercise 1 HES (Optimised)'!$A$2:$A$97</definedName>
    <definedName name="Date_Range_Data" localSheetId="1">'Exercise 1 SES'!$A$2:$A$97</definedName>
    <definedName name="Date_Range_Data" localSheetId="2">'Exercise 1 SES (Optimised)'!$A$2:$A$97</definedName>
    <definedName name="Date_Range_Data" localSheetId="5">'Exercise 2 WES'!$A$2:$A$97</definedName>
    <definedName name="Date_Range_Data" localSheetId="6">'Exercise 2 WES (Optimised)'!$A$2:$A$97</definedName>
    <definedName name="Date_Range_Data">Data1!$A$11:$A$517</definedName>
    <definedName name="solver_adj" localSheetId="3" hidden="1">'Exercise 1 HES'!$O$2</definedName>
    <definedName name="solver_adj" localSheetId="4" hidden="1">'Exercise 1 HES (Optimised)'!$O$2:$O$3</definedName>
    <definedName name="solver_adj" localSheetId="1" hidden="1">'Exercise 1 SES'!$L$2</definedName>
    <definedName name="solver_adj" localSheetId="2" hidden="1">'Exercise 1 SES (Optimised)'!$L$2</definedName>
    <definedName name="solver_adj" localSheetId="5" hidden="1">'Exercise 2 WES'!$O$2:$O$4</definedName>
    <definedName name="solver_adj" localSheetId="6" hidden="1">'Exercise 2 WES (Optimised)'!$O$2:$O$4</definedName>
    <definedName name="solver_cvg" localSheetId="3" hidden="1">0.0001</definedName>
    <definedName name="solver_cvg" localSheetId="4" hidden="1">0.0001</definedName>
    <definedName name="solver_cvg" localSheetId="1" hidden="1">0.0001</definedName>
    <definedName name="solver_cvg" localSheetId="2" hidden="1">0.0001</definedName>
    <definedName name="solver_cvg" localSheetId="5" hidden="1">0.0001</definedName>
    <definedName name="solver_cvg" localSheetId="6" hidden="1">0.0001</definedName>
    <definedName name="solver_drv" localSheetId="3" hidden="1">1</definedName>
    <definedName name="solver_drv" localSheetId="4" hidden="1">1</definedName>
    <definedName name="solver_drv" localSheetId="1" hidden="1">1</definedName>
    <definedName name="solver_drv" localSheetId="2" hidden="1">1</definedName>
    <definedName name="solver_drv" localSheetId="5" hidden="1">1</definedName>
    <definedName name="solver_drv" localSheetId="6" hidden="1">1</definedName>
    <definedName name="solver_eng" localSheetId="3" hidden="1">1</definedName>
    <definedName name="solver_eng" localSheetId="4" hidden="1">1</definedName>
    <definedName name="solver_eng" localSheetId="1" hidden="1">1</definedName>
    <definedName name="solver_eng" localSheetId="2" hidden="1">1</definedName>
    <definedName name="solver_eng" localSheetId="5" hidden="1">1</definedName>
    <definedName name="solver_eng" localSheetId="6" hidden="1">1</definedName>
    <definedName name="solver_itr" localSheetId="3" hidden="1">2147483647</definedName>
    <definedName name="solver_itr" localSheetId="4" hidden="1">2147483647</definedName>
    <definedName name="solver_itr" localSheetId="1" hidden="1">2147483647</definedName>
    <definedName name="solver_itr" localSheetId="2" hidden="1">2147483647</definedName>
    <definedName name="solver_itr" localSheetId="5" hidden="1">2147483647</definedName>
    <definedName name="solver_itr" localSheetId="6" hidden="1">2147483647</definedName>
    <definedName name="solver_lhs1" localSheetId="3" hidden="1">'Exercise 1 HES'!$O$2</definedName>
    <definedName name="solver_lhs1" localSheetId="4" hidden="1">'Exercise 1 HES (Optimised)'!$O$2</definedName>
    <definedName name="solver_lhs1" localSheetId="1" hidden="1">'Exercise 1 SES'!$L$2</definedName>
    <definedName name="solver_lhs1" localSheetId="2" hidden="1">'Exercise 1 SES (Optimised)'!$L$2</definedName>
    <definedName name="solver_lhs1" localSheetId="5" hidden="1">'Exercise 2 WES'!$O$2</definedName>
    <definedName name="solver_lhs1" localSheetId="6" hidden="1">'Exercise 2 WES (Optimised)'!$O$2</definedName>
    <definedName name="solver_lhs2" localSheetId="3" hidden="1">'Exercise 1 HES'!$O$2</definedName>
    <definedName name="solver_lhs2" localSheetId="4" hidden="1">'Exercise 1 HES (Optimised)'!$O$2</definedName>
    <definedName name="solver_lhs2" localSheetId="1" hidden="1">'Exercise 1 SES'!$L$2</definedName>
    <definedName name="solver_lhs2" localSheetId="2" hidden="1">'Exercise 1 SES (Optimised)'!$L$2</definedName>
    <definedName name="solver_lhs2" localSheetId="5" hidden="1">'Exercise 2 WES'!$O$2</definedName>
    <definedName name="solver_lhs2" localSheetId="6" hidden="1">'Exercise 2 WES (Optimised)'!$O$2</definedName>
    <definedName name="solver_lhs3" localSheetId="4" hidden="1">'Exercise 1 HES (Optimised)'!$O$3</definedName>
    <definedName name="solver_lhs3" localSheetId="5" hidden="1">'Exercise 2 WES'!$O$3</definedName>
    <definedName name="solver_lhs3" localSheetId="6" hidden="1">'Exercise 2 WES (Optimised)'!$O$3</definedName>
    <definedName name="solver_lhs4" localSheetId="4" hidden="1">'Exercise 1 HES (Optimised)'!$O$3</definedName>
    <definedName name="solver_lhs4" localSheetId="5" hidden="1">'Exercise 2 WES'!$O$3</definedName>
    <definedName name="solver_lhs4" localSheetId="6" hidden="1">'Exercise 2 WES (Optimised)'!$O$3</definedName>
    <definedName name="solver_lhs5" localSheetId="5" hidden="1">'Exercise 2 WES'!$O$4</definedName>
    <definedName name="solver_lhs5" localSheetId="6" hidden="1">'Exercise 2 WES (Optimised)'!$O$4</definedName>
    <definedName name="solver_lhs6" localSheetId="5" hidden="1">'Exercise 2 WES'!$O$4</definedName>
    <definedName name="solver_lhs6" localSheetId="6" hidden="1">'Exercise 2 WES (Optimised)'!$O$4</definedName>
    <definedName name="solver_lin" localSheetId="3" hidden="1">2</definedName>
    <definedName name="solver_lin" localSheetId="4" hidden="1">2</definedName>
    <definedName name="solver_lin" localSheetId="1" hidden="1">2</definedName>
    <definedName name="solver_lin" localSheetId="2" hidden="1">2</definedName>
    <definedName name="solver_lin" localSheetId="5" hidden="1">2</definedName>
    <definedName name="solver_lin" localSheetId="6" hidden="1">2</definedName>
    <definedName name="solver_mip" localSheetId="3" hidden="1">2147483647</definedName>
    <definedName name="solver_mip" localSheetId="4" hidden="1">2147483647</definedName>
    <definedName name="solver_mip" localSheetId="1" hidden="1">2147483647</definedName>
    <definedName name="solver_mip" localSheetId="2" hidden="1">2147483647</definedName>
    <definedName name="solver_mip" localSheetId="5" hidden="1">2147483647</definedName>
    <definedName name="solver_mip" localSheetId="6" hidden="1">2147483647</definedName>
    <definedName name="solver_mni" localSheetId="3" hidden="1">30</definedName>
    <definedName name="solver_mni" localSheetId="4" hidden="1">30</definedName>
    <definedName name="solver_mni" localSheetId="1" hidden="1">30</definedName>
    <definedName name="solver_mni" localSheetId="2" hidden="1">30</definedName>
    <definedName name="solver_mni" localSheetId="5" hidden="1">30</definedName>
    <definedName name="solver_mni" localSheetId="6" hidden="1">30</definedName>
    <definedName name="solver_mrt" localSheetId="3" hidden="1">0.075</definedName>
    <definedName name="solver_mrt" localSheetId="4" hidden="1">0.075</definedName>
    <definedName name="solver_mrt" localSheetId="1" hidden="1">0.075</definedName>
    <definedName name="solver_mrt" localSheetId="2" hidden="1">0.075</definedName>
    <definedName name="solver_mrt" localSheetId="5" hidden="1">0.075</definedName>
    <definedName name="solver_mrt" localSheetId="6" hidden="1">0.075</definedName>
    <definedName name="solver_msl" localSheetId="3" hidden="1">2</definedName>
    <definedName name="solver_msl" localSheetId="4" hidden="1">2</definedName>
    <definedName name="solver_msl" localSheetId="1" hidden="1">2</definedName>
    <definedName name="solver_msl" localSheetId="2" hidden="1">2</definedName>
    <definedName name="solver_msl" localSheetId="5" hidden="1">2</definedName>
    <definedName name="solver_msl" localSheetId="6" hidden="1">2</definedName>
    <definedName name="solver_neg" localSheetId="3" hidden="1">1</definedName>
    <definedName name="solver_neg" localSheetId="4" hidden="1">1</definedName>
    <definedName name="solver_neg" localSheetId="1" hidden="1">1</definedName>
    <definedName name="solver_neg" localSheetId="2" hidden="1">1</definedName>
    <definedName name="solver_neg" localSheetId="5" hidden="1">1</definedName>
    <definedName name="solver_neg" localSheetId="6" hidden="1">1</definedName>
    <definedName name="solver_nod" localSheetId="3" hidden="1">2147483647</definedName>
    <definedName name="solver_nod" localSheetId="4" hidden="1">2147483647</definedName>
    <definedName name="solver_nod" localSheetId="1" hidden="1">2147483647</definedName>
    <definedName name="solver_nod" localSheetId="2" hidden="1">2147483647</definedName>
    <definedName name="solver_nod" localSheetId="5" hidden="1">2147483647</definedName>
    <definedName name="solver_nod" localSheetId="6" hidden="1">2147483647</definedName>
    <definedName name="solver_num" localSheetId="3" hidden="1">2</definedName>
    <definedName name="solver_num" localSheetId="4" hidden="1">4</definedName>
    <definedName name="solver_num" localSheetId="1" hidden="1">2</definedName>
    <definedName name="solver_num" localSheetId="2" hidden="1">2</definedName>
    <definedName name="solver_num" localSheetId="5" hidden="1">6</definedName>
    <definedName name="solver_num" localSheetId="6" hidden="1">6</definedName>
    <definedName name="solver_opt" localSheetId="3" hidden="1">'Exercise 1 HES'!$J$102</definedName>
    <definedName name="solver_opt" localSheetId="4" hidden="1">'Exercise 1 HES (Optimised)'!$J$102</definedName>
    <definedName name="solver_opt" localSheetId="1" hidden="1">'Exercise 1 SES'!$G$102</definedName>
    <definedName name="solver_opt" localSheetId="2" hidden="1">'Exercise 1 SES (Optimised)'!$G$102</definedName>
    <definedName name="solver_opt" localSheetId="5" hidden="1">'Exercise 2 WES'!$K$101</definedName>
    <definedName name="solver_opt" localSheetId="6" hidden="1">'Exercise 2 WES (Optimised)'!$K$101</definedName>
    <definedName name="solver_pre" localSheetId="3" hidden="1">0.000001</definedName>
    <definedName name="solver_pre" localSheetId="4" hidden="1">0.000001</definedName>
    <definedName name="solver_pre" localSheetId="1" hidden="1">0.000001</definedName>
    <definedName name="solver_pre" localSheetId="2" hidden="1">0.000001</definedName>
    <definedName name="solver_pre" localSheetId="5" hidden="1">0.000001</definedName>
    <definedName name="solver_pre" localSheetId="6" hidden="1">0.000001</definedName>
    <definedName name="solver_rbv" localSheetId="3" hidden="1">1</definedName>
    <definedName name="solver_rbv" localSheetId="4" hidden="1">1</definedName>
    <definedName name="solver_rbv" localSheetId="1" hidden="1">1</definedName>
    <definedName name="solver_rbv" localSheetId="2" hidden="1">1</definedName>
    <definedName name="solver_rbv" localSheetId="5" hidden="1">1</definedName>
    <definedName name="solver_rbv" localSheetId="6" hidden="1">1</definedName>
    <definedName name="solver_rel1" localSheetId="3" hidden="1">1</definedName>
    <definedName name="solver_rel1" localSheetId="4" hidden="1">1</definedName>
    <definedName name="solver_rel1" localSheetId="1" hidden="1">1</definedName>
    <definedName name="solver_rel1" localSheetId="2" hidden="1">1</definedName>
    <definedName name="solver_rel1" localSheetId="5" hidden="1">1</definedName>
    <definedName name="solver_rel1" localSheetId="6" hidden="1">1</definedName>
    <definedName name="solver_rel2" localSheetId="3" hidden="1">3</definedName>
    <definedName name="solver_rel2" localSheetId="4" hidden="1">3</definedName>
    <definedName name="solver_rel2" localSheetId="1" hidden="1">3</definedName>
    <definedName name="solver_rel2" localSheetId="2" hidden="1">3</definedName>
    <definedName name="solver_rel2" localSheetId="5" hidden="1">3</definedName>
    <definedName name="solver_rel2" localSheetId="6" hidden="1">3</definedName>
    <definedName name="solver_rel3" localSheetId="4" hidden="1">1</definedName>
    <definedName name="solver_rel3" localSheetId="5" hidden="1">1</definedName>
    <definedName name="solver_rel3" localSheetId="6" hidden="1">1</definedName>
    <definedName name="solver_rel4" localSheetId="4" hidden="1">3</definedName>
    <definedName name="solver_rel4" localSheetId="5" hidden="1">3</definedName>
    <definedName name="solver_rel4" localSheetId="6" hidden="1">3</definedName>
    <definedName name="solver_rel5" localSheetId="5" hidden="1">1</definedName>
    <definedName name="solver_rel5" localSheetId="6" hidden="1">1</definedName>
    <definedName name="solver_rel6" localSheetId="5" hidden="1">3</definedName>
    <definedName name="solver_rel6" localSheetId="6" hidden="1">3</definedName>
    <definedName name="solver_rhs1" localSheetId="3" hidden="1">1</definedName>
    <definedName name="solver_rhs1" localSheetId="4" hidden="1">1</definedName>
    <definedName name="solver_rhs1" localSheetId="1" hidden="1">1</definedName>
    <definedName name="solver_rhs1" localSheetId="2" hidden="1">1</definedName>
    <definedName name="solver_rhs1" localSheetId="5" hidden="1">1</definedName>
    <definedName name="solver_rhs1" localSheetId="6" hidden="1">1</definedName>
    <definedName name="solver_rhs2" localSheetId="3" hidden="1">0</definedName>
    <definedName name="solver_rhs2" localSheetId="4" hidden="1">0</definedName>
    <definedName name="solver_rhs2" localSheetId="1" hidden="1">0</definedName>
    <definedName name="solver_rhs2" localSheetId="2" hidden="1">0</definedName>
    <definedName name="solver_rhs2" localSheetId="5" hidden="1">0</definedName>
    <definedName name="solver_rhs2" localSheetId="6" hidden="1">0</definedName>
    <definedName name="solver_rhs3" localSheetId="4" hidden="1">1</definedName>
    <definedName name="solver_rhs3" localSheetId="5" hidden="1">1</definedName>
    <definedName name="solver_rhs3" localSheetId="6" hidden="1">1</definedName>
    <definedName name="solver_rhs4" localSheetId="4" hidden="1">0</definedName>
    <definedName name="solver_rhs4" localSheetId="5" hidden="1">0</definedName>
    <definedName name="solver_rhs4" localSheetId="6" hidden="1">0</definedName>
    <definedName name="solver_rhs5" localSheetId="5" hidden="1">1</definedName>
    <definedName name="solver_rhs5" localSheetId="6" hidden="1">1</definedName>
    <definedName name="solver_rhs6" localSheetId="5" hidden="1">0</definedName>
    <definedName name="solver_rhs6" localSheetId="6" hidden="1">0</definedName>
    <definedName name="solver_rlx" localSheetId="3" hidden="1">1</definedName>
    <definedName name="solver_rlx" localSheetId="4" hidden="1">1</definedName>
    <definedName name="solver_rlx" localSheetId="1" hidden="1">1</definedName>
    <definedName name="solver_rlx" localSheetId="2" hidden="1">1</definedName>
    <definedName name="solver_rlx" localSheetId="5" hidden="1">1</definedName>
    <definedName name="solver_rlx" localSheetId="6" hidden="1">1</definedName>
    <definedName name="solver_rsd" localSheetId="3" hidden="1">0</definedName>
    <definedName name="solver_rsd" localSheetId="4" hidden="1">0</definedName>
    <definedName name="solver_rsd" localSheetId="1" hidden="1">0</definedName>
    <definedName name="solver_rsd" localSheetId="2" hidden="1">0</definedName>
    <definedName name="solver_rsd" localSheetId="5" hidden="1">0</definedName>
    <definedName name="solver_rsd" localSheetId="6" hidden="1">0</definedName>
    <definedName name="solver_scl" localSheetId="3" hidden="1">2</definedName>
    <definedName name="solver_scl" localSheetId="4" hidden="1">2</definedName>
    <definedName name="solver_scl" localSheetId="1" hidden="1">2</definedName>
    <definedName name="solver_scl" localSheetId="2" hidden="1">2</definedName>
    <definedName name="solver_scl" localSheetId="5" hidden="1">2</definedName>
    <definedName name="solver_scl" localSheetId="6" hidden="1">2</definedName>
    <definedName name="solver_sho" localSheetId="3" hidden="1">2</definedName>
    <definedName name="solver_sho" localSheetId="4" hidden="1">2</definedName>
    <definedName name="solver_sho" localSheetId="1" hidden="1">2</definedName>
    <definedName name="solver_sho" localSheetId="2" hidden="1">2</definedName>
    <definedName name="solver_sho" localSheetId="5" hidden="1">2</definedName>
    <definedName name="solver_sho" localSheetId="6" hidden="1">2</definedName>
    <definedName name="solver_ssz" localSheetId="3" hidden="1">100</definedName>
    <definedName name="solver_ssz" localSheetId="4" hidden="1">100</definedName>
    <definedName name="solver_ssz" localSheetId="1" hidden="1">100</definedName>
    <definedName name="solver_ssz" localSheetId="2" hidden="1">100</definedName>
    <definedName name="solver_ssz" localSheetId="5" hidden="1">100</definedName>
    <definedName name="solver_ssz" localSheetId="6" hidden="1">100</definedName>
    <definedName name="solver_tim" localSheetId="3" hidden="1">2147483647</definedName>
    <definedName name="solver_tim" localSheetId="4" hidden="1">2147483647</definedName>
    <definedName name="solver_tim" localSheetId="1" hidden="1">2147483647</definedName>
    <definedName name="solver_tim" localSheetId="2" hidden="1">2147483647</definedName>
    <definedName name="solver_tim" localSheetId="5" hidden="1">2147483647</definedName>
    <definedName name="solver_tim" localSheetId="6" hidden="1">2147483647</definedName>
    <definedName name="solver_tol" localSheetId="3" hidden="1">0.01</definedName>
    <definedName name="solver_tol" localSheetId="4" hidden="1">0.01</definedName>
    <definedName name="solver_tol" localSheetId="1" hidden="1">0.01</definedName>
    <definedName name="solver_tol" localSheetId="2" hidden="1">0.01</definedName>
    <definedName name="solver_tol" localSheetId="5" hidden="1">0.01</definedName>
    <definedName name="solver_tol" localSheetId="6" hidden="1">0.01</definedName>
    <definedName name="solver_typ" localSheetId="3" hidden="1">2</definedName>
    <definedName name="solver_typ" localSheetId="4" hidden="1">2</definedName>
    <definedName name="solver_typ" localSheetId="1" hidden="1">2</definedName>
    <definedName name="solver_typ" localSheetId="2" hidden="1">2</definedName>
    <definedName name="solver_typ" localSheetId="5" hidden="1">2</definedName>
    <definedName name="solver_typ" localSheetId="6" hidden="1">2</definedName>
    <definedName name="solver_val" localSheetId="3" hidden="1">0</definedName>
    <definedName name="solver_val" localSheetId="4" hidden="1">0</definedName>
    <definedName name="solver_val" localSheetId="1" hidden="1">0</definedName>
    <definedName name="solver_val" localSheetId="2" hidden="1">0</definedName>
    <definedName name="solver_val" localSheetId="5" hidden="1">0</definedName>
    <definedName name="solver_val" localSheetId="6" hidden="1">0</definedName>
    <definedName name="solver_ver" localSheetId="3" hidden="1">2</definedName>
    <definedName name="solver_ver" localSheetId="4" hidden="1">2</definedName>
    <definedName name="solver_ver" localSheetId="1" hidden="1">2</definedName>
    <definedName name="solver_ver" localSheetId="2" hidden="1">2</definedName>
    <definedName name="solver_ver" localSheetId="5" hidden="1">2</definedName>
    <definedName name="solver_ver" localSheetId="6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7" i="10" l="1"/>
  <c r="D3" i="12"/>
  <c r="D4" i="12"/>
  <c r="D5" i="12"/>
  <c r="D6" i="12"/>
  <c r="D7" i="12"/>
  <c r="D8" i="12"/>
  <c r="D9" i="12"/>
  <c r="D10" i="12"/>
  <c r="D11" i="12"/>
  <c r="D12" i="12"/>
  <c r="D13" i="12"/>
  <c r="D2" i="12"/>
  <c r="G105" i="8"/>
  <c r="G105" i="5"/>
  <c r="V12" i="9"/>
  <c r="W12" i="9"/>
  <c r="T12" i="9"/>
  <c r="T13" i="9" s="1"/>
  <c r="T14" i="9" s="1"/>
  <c r="T15" i="9" s="1"/>
  <c r="T16" i="9" s="1"/>
  <c r="T17" i="9" s="1"/>
  <c r="T18" i="9" s="1"/>
  <c r="T19" i="9" s="1"/>
  <c r="T20" i="9" s="1"/>
  <c r="T21" i="9" s="1"/>
  <c r="T22" i="9" s="1"/>
  <c r="T23" i="9" s="1"/>
  <c r="T24" i="9" s="1"/>
  <c r="T25" i="9" s="1"/>
  <c r="T26" i="9" s="1"/>
  <c r="T27" i="9" s="1"/>
  <c r="T28" i="9" s="1"/>
  <c r="T29" i="9" s="1"/>
  <c r="T30" i="9" s="1"/>
  <c r="T31" i="9" s="1"/>
  <c r="T32" i="9" s="1"/>
  <c r="T33" i="9" s="1"/>
  <c r="T34" i="9" s="1"/>
  <c r="T35" i="9" s="1"/>
  <c r="T12" i="11"/>
  <c r="U12" i="11"/>
  <c r="R12" i="11"/>
  <c r="R13" i="11" s="1"/>
  <c r="R14" i="11" s="1"/>
  <c r="R15" i="11" s="1"/>
  <c r="R16" i="11" s="1"/>
  <c r="R17" i="11" s="1"/>
  <c r="R18" i="11" s="1"/>
  <c r="R19" i="11" s="1"/>
  <c r="R20" i="11" s="1"/>
  <c r="R21" i="11" s="1"/>
  <c r="R22" i="11" s="1"/>
  <c r="R23" i="11" s="1"/>
  <c r="R24" i="11" s="1"/>
  <c r="R25" i="11" s="1"/>
  <c r="R26" i="11" s="1"/>
  <c r="R27" i="11" s="1"/>
  <c r="R28" i="11" s="1"/>
  <c r="R29" i="11" s="1"/>
  <c r="R30" i="11" s="1"/>
  <c r="R31" i="11" s="1"/>
  <c r="R32" i="11" s="1"/>
  <c r="R33" i="11" s="1"/>
  <c r="R34" i="11" s="1"/>
  <c r="R35" i="11" s="1"/>
  <c r="T12" i="10"/>
  <c r="U12" i="10"/>
  <c r="R12" i="10"/>
  <c r="R13" i="10" s="1"/>
  <c r="R14" i="10" s="1"/>
  <c r="R15" i="10" s="1"/>
  <c r="R16" i="10" s="1"/>
  <c r="R17" i="10" s="1"/>
  <c r="R18" i="10" s="1"/>
  <c r="R19" i="10" s="1"/>
  <c r="R20" i="10" s="1"/>
  <c r="R21" i="10" s="1"/>
  <c r="R22" i="10" s="1"/>
  <c r="R23" i="10" s="1"/>
  <c r="R24" i="10" s="1"/>
  <c r="R25" i="10" s="1"/>
  <c r="R26" i="10" s="1"/>
  <c r="R27" i="10" s="1"/>
  <c r="R28" i="10" s="1"/>
  <c r="R29" i="10" s="1"/>
  <c r="R30" i="10" s="1"/>
  <c r="R31" i="10" s="1"/>
  <c r="R32" i="10" s="1"/>
  <c r="R33" i="10" s="1"/>
  <c r="R34" i="10" s="1"/>
  <c r="R35" i="10" s="1"/>
  <c r="Q12" i="8"/>
  <c r="R12" i="8"/>
  <c r="O12" i="8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O34" i="8" s="1"/>
  <c r="O35" i="8" s="1"/>
  <c r="U16" i="9"/>
  <c r="S14" i="10"/>
  <c r="P28" i="8"/>
  <c r="P19" i="8"/>
  <c r="S29" i="10"/>
  <c r="P17" i="8"/>
  <c r="P34" i="8"/>
  <c r="S24" i="11"/>
  <c r="U31" i="9"/>
  <c r="S12" i="10"/>
  <c r="P12" i="8"/>
  <c r="S29" i="11"/>
  <c r="S13" i="10"/>
  <c r="U19" i="9"/>
  <c r="S26" i="11"/>
  <c r="S19" i="11"/>
  <c r="S22" i="10"/>
  <c r="S16" i="11"/>
  <c r="U33" i="9"/>
  <c r="P25" i="8"/>
  <c r="S23" i="11"/>
  <c r="S22" i="11"/>
  <c r="S32" i="11"/>
  <c r="S27" i="11"/>
  <c r="S32" i="10"/>
  <c r="S25" i="10"/>
  <c r="P27" i="8"/>
  <c r="S13" i="11"/>
  <c r="P21" i="8"/>
  <c r="S31" i="11"/>
  <c r="U29" i="9"/>
  <c r="S18" i="11"/>
  <c r="S12" i="11"/>
  <c r="S19" i="10"/>
  <c r="P29" i="8"/>
  <c r="P26" i="8"/>
  <c r="S28" i="10"/>
  <c r="S20" i="11"/>
  <c r="U14" i="9"/>
  <c r="P13" i="8"/>
  <c r="S18" i="10"/>
  <c r="S16" i="10"/>
  <c r="U20" i="9"/>
  <c r="P31" i="8"/>
  <c r="U35" i="9"/>
  <c r="U21" i="9"/>
  <c r="U26" i="9"/>
  <c r="P15" i="8"/>
  <c r="U34" i="9"/>
  <c r="S17" i="11"/>
  <c r="U23" i="9"/>
  <c r="U22" i="9"/>
  <c r="P33" i="8"/>
  <c r="S35" i="11"/>
  <c r="S21" i="10"/>
  <c r="S24" i="10"/>
  <c r="P35" i="8"/>
  <c r="S33" i="10"/>
  <c r="P30" i="8"/>
  <c r="P16" i="8"/>
  <c r="P23" i="8"/>
  <c r="U25" i="9"/>
  <c r="P22" i="8"/>
  <c r="S15" i="10"/>
  <c r="P14" i="8"/>
  <c r="S14" i="11"/>
  <c r="U24" i="9"/>
  <c r="S30" i="10"/>
  <c r="P18" i="8"/>
  <c r="S25" i="11"/>
  <c r="S34" i="11"/>
  <c r="S31" i="10"/>
  <c r="U13" i="9"/>
  <c r="P20" i="8"/>
  <c r="S17" i="10"/>
  <c r="S26" i="10"/>
  <c r="U30" i="9"/>
  <c r="S23" i="10"/>
  <c r="P24" i="8"/>
  <c r="S15" i="11"/>
  <c r="S27" i="10"/>
  <c r="U17" i="9"/>
  <c r="S21" i="11"/>
  <c r="U15" i="9"/>
  <c r="S28" i="11"/>
  <c r="U32" i="9"/>
  <c r="P32" i="8"/>
  <c r="S34" i="10"/>
  <c r="U28" i="9"/>
  <c r="U27" i="9"/>
  <c r="U12" i="9"/>
  <c r="S33" i="11"/>
  <c r="S35" i="10"/>
  <c r="U18" i="9"/>
  <c r="S30" i="11"/>
  <c r="S20" i="10"/>
  <c r="W14" i="9" l="1"/>
  <c r="V14" i="9" s="1"/>
  <c r="W22" i="9"/>
  <c r="V22" i="9" s="1"/>
  <c r="W30" i="9"/>
  <c r="V30" i="9" s="1"/>
  <c r="W15" i="9"/>
  <c r="V15" i="9" s="1"/>
  <c r="W23" i="9"/>
  <c r="V23" i="9" s="1"/>
  <c r="W31" i="9"/>
  <c r="V31" i="9" s="1"/>
  <c r="W25" i="9"/>
  <c r="V25" i="9" s="1"/>
  <c r="W33" i="9"/>
  <c r="V33" i="9" s="1"/>
  <c r="W26" i="9"/>
  <c r="V26" i="9" s="1"/>
  <c r="W34" i="9"/>
  <c r="V34" i="9" s="1"/>
  <c r="W27" i="9"/>
  <c r="V27" i="9" s="1"/>
  <c r="W16" i="9"/>
  <c r="V16" i="9" s="1"/>
  <c r="W24" i="9"/>
  <c r="V24" i="9" s="1"/>
  <c r="W32" i="9"/>
  <c r="V32" i="9" s="1"/>
  <c r="W35" i="9"/>
  <c r="V35" i="9" s="1"/>
  <c r="W17" i="9"/>
  <c r="V17" i="9" s="1"/>
  <c r="W18" i="9"/>
  <c r="V18" i="9" s="1"/>
  <c r="W19" i="9"/>
  <c r="V19" i="9" s="1"/>
  <c r="W20" i="9"/>
  <c r="V20" i="9" s="1"/>
  <c r="W28" i="9"/>
  <c r="V28" i="9" s="1"/>
  <c r="W29" i="9"/>
  <c r="V29" i="9" s="1"/>
  <c r="W13" i="9"/>
  <c r="V13" i="9" s="1"/>
  <c r="W21" i="9"/>
  <c r="V21" i="9" s="1"/>
  <c r="U14" i="11"/>
  <c r="T14" i="11" s="1"/>
  <c r="U21" i="11"/>
  <c r="T21" i="11" s="1"/>
  <c r="U29" i="11"/>
  <c r="T29" i="11" s="1"/>
  <c r="U13" i="11"/>
  <c r="T13" i="11" s="1"/>
  <c r="U32" i="11"/>
  <c r="T32" i="11" s="1"/>
  <c r="U33" i="11"/>
  <c r="T33" i="11" s="1"/>
  <c r="U26" i="11"/>
  <c r="T26" i="11" s="1"/>
  <c r="U28" i="11"/>
  <c r="T28" i="11" s="1"/>
  <c r="U15" i="11"/>
  <c r="T15" i="11" s="1"/>
  <c r="U22" i="11"/>
  <c r="T22" i="11" s="1"/>
  <c r="U30" i="11"/>
  <c r="T30" i="11" s="1"/>
  <c r="U27" i="11"/>
  <c r="T27" i="11" s="1"/>
  <c r="U20" i="11"/>
  <c r="T20" i="11" s="1"/>
  <c r="U16" i="11"/>
  <c r="T16" i="11" s="1"/>
  <c r="U23" i="11"/>
  <c r="T23" i="11" s="1"/>
  <c r="U31" i="11"/>
  <c r="T31" i="11" s="1"/>
  <c r="U24" i="11"/>
  <c r="T24" i="11" s="1"/>
  <c r="U25" i="11"/>
  <c r="T25" i="11" s="1"/>
  <c r="U34" i="11"/>
  <c r="T34" i="11" s="1"/>
  <c r="U35" i="11"/>
  <c r="T35" i="11" s="1"/>
  <c r="U17" i="11"/>
  <c r="T17" i="11" s="1"/>
  <c r="U18" i="11"/>
  <c r="T18" i="11" s="1"/>
  <c r="U19" i="11"/>
  <c r="T19" i="11" s="1"/>
  <c r="U14" i="10"/>
  <c r="T14" i="10" s="1"/>
  <c r="U22" i="10"/>
  <c r="T22" i="10" s="1"/>
  <c r="U30" i="10"/>
  <c r="T30" i="10" s="1"/>
  <c r="U18" i="10"/>
  <c r="T18" i="10" s="1"/>
  <c r="U35" i="10"/>
  <c r="T35" i="10" s="1"/>
  <c r="U15" i="10"/>
  <c r="T15" i="10" s="1"/>
  <c r="U23" i="10"/>
  <c r="T23" i="10" s="1"/>
  <c r="U31" i="10"/>
  <c r="T31" i="10" s="1"/>
  <c r="U33" i="10"/>
  <c r="T33" i="10" s="1"/>
  <c r="U26" i="10"/>
  <c r="T26" i="10" s="1"/>
  <c r="U27" i="10"/>
  <c r="T27" i="10" s="1"/>
  <c r="U16" i="10"/>
  <c r="T16" i="10" s="1"/>
  <c r="U24" i="10"/>
  <c r="T24" i="10" s="1"/>
  <c r="U32" i="10"/>
  <c r="T32" i="10" s="1"/>
  <c r="U25" i="10"/>
  <c r="T25" i="10" s="1"/>
  <c r="U34" i="10"/>
  <c r="T34" i="10" s="1"/>
  <c r="U20" i="10"/>
  <c r="T20" i="10" s="1"/>
  <c r="U19" i="10"/>
  <c r="T19" i="10" s="1"/>
  <c r="U21" i="10"/>
  <c r="T21" i="10" s="1"/>
  <c r="U29" i="10"/>
  <c r="T29" i="10" s="1"/>
  <c r="U13" i="10"/>
  <c r="T13" i="10" s="1"/>
  <c r="U17" i="10"/>
  <c r="T17" i="10" s="1"/>
  <c r="U28" i="10"/>
  <c r="T28" i="10" s="1"/>
  <c r="R14" i="8"/>
  <c r="Q14" i="8" s="1"/>
  <c r="R22" i="8"/>
  <c r="Q22" i="8" s="1"/>
  <c r="R30" i="8"/>
  <c r="Q30" i="8" s="1"/>
  <c r="R24" i="8"/>
  <c r="Q24" i="8" s="1"/>
  <c r="R17" i="8"/>
  <c r="Q17" i="8" s="1"/>
  <c r="R33" i="8"/>
  <c r="Q33" i="8" s="1"/>
  <c r="R26" i="8"/>
  <c r="Q26" i="8" s="1"/>
  <c r="R19" i="8"/>
  <c r="Q19" i="8" s="1"/>
  <c r="R28" i="8"/>
  <c r="Q28" i="8" s="1"/>
  <c r="R15" i="8"/>
  <c r="Q15" i="8" s="1"/>
  <c r="R23" i="8"/>
  <c r="Q23" i="8" s="1"/>
  <c r="R31" i="8"/>
  <c r="Q31" i="8" s="1"/>
  <c r="R32" i="8"/>
  <c r="Q32" i="8" s="1"/>
  <c r="R25" i="8"/>
  <c r="Q25" i="8" s="1"/>
  <c r="R18" i="8"/>
  <c r="Q18" i="8" s="1"/>
  <c r="R35" i="8"/>
  <c r="Q35" i="8" s="1"/>
  <c r="R16" i="8"/>
  <c r="Q16" i="8" s="1"/>
  <c r="R34" i="8"/>
  <c r="Q34" i="8" s="1"/>
  <c r="R27" i="8"/>
  <c r="Q27" i="8" s="1"/>
  <c r="R20" i="8"/>
  <c r="Q20" i="8" s="1"/>
  <c r="R21" i="8"/>
  <c r="Q21" i="8" s="1"/>
  <c r="R29" i="8"/>
  <c r="Q29" i="8" s="1"/>
  <c r="R13" i="8"/>
  <c r="Q13" i="8" s="1"/>
  <c r="G105" i="9" l="1"/>
  <c r="G97" i="7"/>
  <c r="G99" i="7"/>
  <c r="G100" i="7"/>
  <c r="G101" i="7"/>
  <c r="G102" i="7"/>
  <c r="G103" i="7"/>
  <c r="G104" i="7"/>
  <c r="G105" i="7"/>
  <c r="G106" i="7"/>
  <c r="G107" i="7"/>
  <c r="G108" i="7"/>
  <c r="G109" i="7"/>
  <c r="G98" i="7"/>
  <c r="G97" i="9"/>
  <c r="G99" i="9"/>
  <c r="G100" i="9"/>
  <c r="G101" i="9"/>
  <c r="G102" i="9"/>
  <c r="G103" i="9"/>
  <c r="G104" i="9"/>
  <c r="G106" i="9"/>
  <c r="G107" i="9"/>
  <c r="G108" i="9"/>
  <c r="G109" i="9"/>
  <c r="G98" i="9"/>
  <c r="F97" i="9"/>
  <c r="D97" i="5"/>
  <c r="D100" i="5"/>
  <c r="D101" i="5" s="1"/>
  <c r="D102" i="5" s="1"/>
  <c r="D103" i="5" s="1"/>
  <c r="D104" i="5" s="1"/>
  <c r="D105" i="5" s="1"/>
  <c r="D106" i="5" s="1"/>
  <c r="D107" i="5" s="1"/>
  <c r="D108" i="5" s="1"/>
  <c r="D109" i="5" s="1"/>
  <c r="D99" i="5"/>
  <c r="D98" i="5"/>
  <c r="E3" i="11"/>
  <c r="H3" i="11" s="1"/>
  <c r="D2" i="11"/>
  <c r="C2" i="11"/>
  <c r="C3" i="11" s="1"/>
  <c r="J102" i="10"/>
  <c r="K102" i="10"/>
  <c r="I102" i="10"/>
  <c r="F99" i="10"/>
  <c r="F100" i="10"/>
  <c r="F101" i="10"/>
  <c r="F102" i="10"/>
  <c r="F103" i="10"/>
  <c r="F104" i="10"/>
  <c r="F105" i="10"/>
  <c r="F106" i="10"/>
  <c r="F107" i="10"/>
  <c r="F108" i="10"/>
  <c r="F109" i="10"/>
  <c r="F98" i="10"/>
  <c r="D2" i="10"/>
  <c r="E3" i="10" s="1"/>
  <c r="C2" i="10"/>
  <c r="C3" i="10" s="1"/>
  <c r="J3" i="11" l="1"/>
  <c r="I3" i="11"/>
  <c r="D3" i="11"/>
  <c r="E4" i="11" s="1"/>
  <c r="H4" i="11" s="1"/>
  <c r="D3" i="10"/>
  <c r="C4" i="10" s="1"/>
  <c r="I4" i="11" l="1"/>
  <c r="K4" i="11" s="1"/>
  <c r="J4" i="11"/>
  <c r="C4" i="11"/>
  <c r="K3" i="11"/>
  <c r="D4" i="10"/>
  <c r="E5" i="10" s="1"/>
  <c r="C5" i="10"/>
  <c r="E4" i="10"/>
  <c r="D4" i="11" l="1"/>
  <c r="E5" i="11" s="1"/>
  <c r="H5" i="11" s="1"/>
  <c r="D5" i="10"/>
  <c r="C6" i="10" s="1"/>
  <c r="D6" i="10"/>
  <c r="C7" i="10" s="1"/>
  <c r="I5" i="11" l="1"/>
  <c r="J5" i="11"/>
  <c r="C5" i="11"/>
  <c r="E7" i="10"/>
  <c r="E6" i="10"/>
  <c r="D7" i="10"/>
  <c r="C8" i="10" s="1"/>
  <c r="D5" i="11" l="1"/>
  <c r="E6" i="11"/>
  <c r="H6" i="11" s="1"/>
  <c r="C6" i="11"/>
  <c r="K5" i="11"/>
  <c r="E8" i="10"/>
  <c r="D8" i="10"/>
  <c r="E9" i="10" s="1"/>
  <c r="C9" i="10"/>
  <c r="D6" i="11" l="1"/>
  <c r="C7" i="11" s="1"/>
  <c r="J6" i="11"/>
  <c r="I6" i="11"/>
  <c r="E10" i="10"/>
  <c r="D9" i="10"/>
  <c r="C10" i="10"/>
  <c r="E7" i="11" l="1"/>
  <c r="H7" i="11" s="1"/>
  <c r="D7" i="11"/>
  <c r="C8" i="11" s="1"/>
  <c r="K6" i="11"/>
  <c r="I7" i="11"/>
  <c r="K7" i="11" s="1"/>
  <c r="J7" i="11"/>
  <c r="D10" i="10"/>
  <c r="E11" i="10" s="1"/>
  <c r="C11" i="10"/>
  <c r="D8" i="11" l="1"/>
  <c r="C9" i="11" s="1"/>
  <c r="E9" i="11"/>
  <c r="H9" i="11" s="1"/>
  <c r="E8" i="11"/>
  <c r="H8" i="11" s="1"/>
  <c r="D11" i="10"/>
  <c r="E12" i="10" s="1"/>
  <c r="J8" i="11" l="1"/>
  <c r="I8" i="11"/>
  <c r="D9" i="11"/>
  <c r="E10" i="11" s="1"/>
  <c r="H10" i="11" s="1"/>
  <c r="I9" i="11"/>
  <c r="K9" i="11" s="1"/>
  <c r="J9" i="11"/>
  <c r="C12" i="10"/>
  <c r="C10" i="11" l="1"/>
  <c r="D10" i="11"/>
  <c r="C11" i="11" s="1"/>
  <c r="J10" i="11"/>
  <c r="I10" i="11"/>
  <c r="K10" i="11" s="1"/>
  <c r="K8" i="11"/>
  <c r="D12" i="10"/>
  <c r="C13" i="10" s="1"/>
  <c r="D13" i="10"/>
  <c r="C14" i="10"/>
  <c r="D11" i="11" l="1"/>
  <c r="C12" i="11" s="1"/>
  <c r="E11" i="11"/>
  <c r="H11" i="11" s="1"/>
  <c r="E14" i="10"/>
  <c r="E13" i="10"/>
  <c r="D14" i="10"/>
  <c r="C15" i="10" s="1"/>
  <c r="D12" i="11" l="1"/>
  <c r="E13" i="11" s="1"/>
  <c r="H13" i="11" s="1"/>
  <c r="J11" i="11"/>
  <c r="I11" i="11"/>
  <c r="K11" i="11" s="1"/>
  <c r="E12" i="11"/>
  <c r="H12" i="11" s="1"/>
  <c r="E15" i="10"/>
  <c r="D15" i="10"/>
  <c r="C16" i="10" s="1"/>
  <c r="C13" i="11" l="1"/>
  <c r="I13" i="11"/>
  <c r="K13" i="11" s="1"/>
  <c r="J13" i="11"/>
  <c r="J12" i="11"/>
  <c r="I12" i="11"/>
  <c r="K12" i="11" s="1"/>
  <c r="D13" i="11"/>
  <c r="E14" i="11" s="1"/>
  <c r="H14" i="11" s="1"/>
  <c r="E16" i="10"/>
  <c r="D16" i="10"/>
  <c r="C17" i="10" s="1"/>
  <c r="C14" i="11" l="1"/>
  <c r="J14" i="11"/>
  <c r="I14" i="11"/>
  <c r="K14" i="11" s="1"/>
  <c r="D14" i="11"/>
  <c r="C15" i="11" s="1"/>
  <c r="E18" i="10"/>
  <c r="E17" i="10"/>
  <c r="D17" i="10"/>
  <c r="C18" i="10"/>
  <c r="D15" i="11" l="1"/>
  <c r="C16" i="11" s="1"/>
  <c r="E15" i="11"/>
  <c r="H15" i="11" s="1"/>
  <c r="D18" i="10"/>
  <c r="C19" i="10" s="1"/>
  <c r="D16" i="11" l="1"/>
  <c r="E17" i="11" s="1"/>
  <c r="H17" i="11" s="1"/>
  <c r="I15" i="11"/>
  <c r="K15" i="11" s="1"/>
  <c r="J15" i="11"/>
  <c r="E16" i="11"/>
  <c r="H16" i="11" s="1"/>
  <c r="E19" i="10"/>
  <c r="D19" i="10"/>
  <c r="C20" i="10" s="1"/>
  <c r="I17" i="11" l="1"/>
  <c r="K17" i="11" s="1"/>
  <c r="J17" i="11"/>
  <c r="J16" i="11"/>
  <c r="I16" i="11"/>
  <c r="K16" i="11" s="1"/>
  <c r="C17" i="11"/>
  <c r="E20" i="10"/>
  <c r="D20" i="10"/>
  <c r="E21" i="10" s="1"/>
  <c r="C21" i="10"/>
  <c r="D17" i="11" l="1"/>
  <c r="E18" i="11" s="1"/>
  <c r="H18" i="11" s="1"/>
  <c r="C18" i="11"/>
  <c r="D21" i="10"/>
  <c r="E22" i="10" s="1"/>
  <c r="C22" i="10"/>
  <c r="D18" i="11" l="1"/>
  <c r="C19" i="11" s="1"/>
  <c r="I18" i="11"/>
  <c r="K18" i="11" s="1"/>
  <c r="J18" i="11"/>
  <c r="D22" i="10"/>
  <c r="C23" i="10" s="1"/>
  <c r="D19" i="11" l="1"/>
  <c r="C20" i="11" s="1"/>
  <c r="E19" i="11"/>
  <c r="H19" i="11" s="1"/>
  <c r="E24" i="10"/>
  <c r="E23" i="10"/>
  <c r="D23" i="10"/>
  <c r="C24" i="10" s="1"/>
  <c r="D20" i="11" l="1"/>
  <c r="E21" i="11" s="1"/>
  <c r="H21" i="11" s="1"/>
  <c r="C21" i="11"/>
  <c r="J19" i="11"/>
  <c r="I19" i="11"/>
  <c r="K19" i="11" s="1"/>
  <c r="E20" i="11"/>
  <c r="H20" i="11" s="1"/>
  <c r="D24" i="10"/>
  <c r="C25" i="10" s="1"/>
  <c r="J21" i="11" l="1"/>
  <c r="I21" i="11"/>
  <c r="K21" i="11" s="1"/>
  <c r="D21" i="11"/>
  <c r="E22" i="11" s="1"/>
  <c r="H22" i="11" s="1"/>
  <c r="J20" i="11"/>
  <c r="I20" i="11"/>
  <c r="K20" i="11" s="1"/>
  <c r="E25" i="10"/>
  <c r="D25" i="10"/>
  <c r="C26" i="10" s="1"/>
  <c r="I22" i="11" l="1"/>
  <c r="K22" i="11" s="1"/>
  <c r="J22" i="11"/>
  <c r="C22" i="11"/>
  <c r="E27" i="10"/>
  <c r="E26" i="10"/>
  <c r="D26" i="10"/>
  <c r="C27" i="10" s="1"/>
  <c r="D22" i="11" l="1"/>
  <c r="E23" i="11" s="1"/>
  <c r="H23" i="11" s="1"/>
  <c r="D27" i="10"/>
  <c r="C28" i="10" s="1"/>
  <c r="C23" i="11" l="1"/>
  <c r="D23" i="11"/>
  <c r="C24" i="11" s="1"/>
  <c r="E24" i="11"/>
  <c r="H24" i="11" s="1"/>
  <c r="I23" i="11"/>
  <c r="K23" i="11" s="1"/>
  <c r="J23" i="11"/>
  <c r="E28" i="10"/>
  <c r="D28" i="10"/>
  <c r="C29" i="10" s="1"/>
  <c r="D24" i="11" l="1"/>
  <c r="C25" i="11" s="1"/>
  <c r="J24" i="11"/>
  <c r="I24" i="11"/>
  <c r="K24" i="11" s="1"/>
  <c r="E29" i="10"/>
  <c r="E30" i="10"/>
  <c r="D29" i="10"/>
  <c r="C30" i="10" s="1"/>
  <c r="D25" i="11" l="1"/>
  <c r="E26" i="11"/>
  <c r="H26" i="11" s="1"/>
  <c r="C26" i="11"/>
  <c r="E25" i="11"/>
  <c r="H25" i="11" s="1"/>
  <c r="D30" i="10"/>
  <c r="E31" i="10" s="1"/>
  <c r="C31" i="10"/>
  <c r="I25" i="11" l="1"/>
  <c r="K25" i="11" s="1"/>
  <c r="J25" i="11"/>
  <c r="D26" i="11"/>
  <c r="C27" i="11" s="1"/>
  <c r="E27" i="11"/>
  <c r="H27" i="11" s="1"/>
  <c r="I26" i="11"/>
  <c r="K26" i="11" s="1"/>
  <c r="J26" i="11"/>
  <c r="D31" i="10"/>
  <c r="E32" i="10" s="1"/>
  <c r="D27" i="11" l="1"/>
  <c r="C28" i="11" s="1"/>
  <c r="J27" i="11"/>
  <c r="I27" i="11"/>
  <c r="K27" i="11" s="1"/>
  <c r="C32" i="10"/>
  <c r="D28" i="11" l="1"/>
  <c r="E29" i="11" s="1"/>
  <c r="H29" i="11" s="1"/>
  <c r="E28" i="11"/>
  <c r="H28" i="11" s="1"/>
  <c r="D32" i="10"/>
  <c r="E33" i="10" s="1"/>
  <c r="C29" i="11" l="1"/>
  <c r="I29" i="11"/>
  <c r="K29" i="11" s="1"/>
  <c r="J29" i="11"/>
  <c r="J28" i="11"/>
  <c r="I28" i="11"/>
  <c r="K28" i="11" s="1"/>
  <c r="D29" i="11"/>
  <c r="C30" i="11" s="1"/>
  <c r="C33" i="10"/>
  <c r="D30" i="11" l="1"/>
  <c r="E31" i="11" s="1"/>
  <c r="H31" i="11" s="1"/>
  <c r="E30" i="11"/>
  <c r="H30" i="11" s="1"/>
  <c r="E34" i="10"/>
  <c r="D33" i="10"/>
  <c r="C34" i="10" s="1"/>
  <c r="C31" i="11" l="1"/>
  <c r="I30" i="11"/>
  <c r="K30" i="11" s="1"/>
  <c r="J30" i="11"/>
  <c r="D31" i="11"/>
  <c r="C32" i="11" s="1"/>
  <c r="I31" i="11"/>
  <c r="K31" i="11" s="1"/>
  <c r="J31" i="11"/>
  <c r="D34" i="10"/>
  <c r="E35" i="10" s="1"/>
  <c r="D32" i="11" l="1"/>
  <c r="C33" i="11" s="1"/>
  <c r="E32" i="11"/>
  <c r="H32" i="11" s="1"/>
  <c r="C35" i="10"/>
  <c r="D33" i="11" l="1"/>
  <c r="E34" i="11" s="1"/>
  <c r="H34" i="11" s="1"/>
  <c r="J32" i="11"/>
  <c r="I32" i="11"/>
  <c r="K32" i="11" s="1"/>
  <c r="E33" i="11"/>
  <c r="H33" i="11" s="1"/>
  <c r="D35" i="10"/>
  <c r="C36" i="10" s="1"/>
  <c r="J34" i="11" l="1"/>
  <c r="I34" i="11"/>
  <c r="K34" i="11" s="1"/>
  <c r="J33" i="11"/>
  <c r="I33" i="11"/>
  <c r="K33" i="11" s="1"/>
  <c r="C34" i="11"/>
  <c r="D36" i="10"/>
  <c r="E37" i="10" s="1"/>
  <c r="C37" i="10"/>
  <c r="E36" i="10"/>
  <c r="D34" i="11" l="1"/>
  <c r="C35" i="11" s="1"/>
  <c r="E35" i="11"/>
  <c r="H35" i="11" s="1"/>
  <c r="D37" i="10"/>
  <c r="E38" i="10" s="1"/>
  <c r="C38" i="10"/>
  <c r="D35" i="11" l="1"/>
  <c r="E36" i="11" s="1"/>
  <c r="H36" i="11" s="1"/>
  <c r="C36" i="11"/>
  <c r="I35" i="11"/>
  <c r="K35" i="11" s="1"/>
  <c r="J35" i="11"/>
  <c r="D38" i="10"/>
  <c r="C39" i="10" s="1"/>
  <c r="D36" i="11" l="1"/>
  <c r="E37" i="11" s="1"/>
  <c r="H37" i="11" s="1"/>
  <c r="C37" i="11"/>
  <c r="J36" i="11"/>
  <c r="I36" i="11"/>
  <c r="K36" i="11" s="1"/>
  <c r="E40" i="10"/>
  <c r="D39" i="10"/>
  <c r="C40" i="10" s="1"/>
  <c r="E39" i="10"/>
  <c r="J37" i="11" l="1"/>
  <c r="I37" i="11"/>
  <c r="K37" i="11" s="1"/>
  <c r="D37" i="11"/>
  <c r="C38" i="11" s="1"/>
  <c r="D40" i="10"/>
  <c r="E41" i="10" s="1"/>
  <c r="C41" i="10"/>
  <c r="D100" i="8"/>
  <c r="D101" i="8" s="1"/>
  <c r="D102" i="8" s="1"/>
  <c r="D103" i="8" s="1"/>
  <c r="D104" i="8" s="1"/>
  <c r="D105" i="8" s="1"/>
  <c r="D106" i="8" s="1"/>
  <c r="D107" i="8" s="1"/>
  <c r="D108" i="8" s="1"/>
  <c r="D109" i="8" s="1"/>
  <c r="D99" i="8"/>
  <c r="D97" i="8"/>
  <c r="D98" i="8"/>
  <c r="C97" i="8"/>
  <c r="Q20" i="9"/>
  <c r="R20" i="9" s="1"/>
  <c r="Q19" i="9"/>
  <c r="R19" i="9" s="1"/>
  <c r="Q18" i="9"/>
  <c r="R18" i="9" s="1"/>
  <c r="R17" i="9"/>
  <c r="Q17" i="9"/>
  <c r="Q16" i="9"/>
  <c r="R16" i="9" s="1"/>
  <c r="Q15" i="9"/>
  <c r="R15" i="9" s="1"/>
  <c r="Q14" i="9"/>
  <c r="R14" i="9" s="1"/>
  <c r="R13" i="9"/>
  <c r="Q13" i="9"/>
  <c r="C13" i="9"/>
  <c r="Q12" i="9"/>
  <c r="R12" i="9" s="1"/>
  <c r="R11" i="9"/>
  <c r="Q11" i="9"/>
  <c r="E11" i="9"/>
  <c r="R10" i="9"/>
  <c r="Q10" i="9"/>
  <c r="Q9" i="9"/>
  <c r="R9" i="9" s="1"/>
  <c r="E9" i="9"/>
  <c r="E8" i="9"/>
  <c r="E7" i="9"/>
  <c r="E6" i="9"/>
  <c r="C2" i="8"/>
  <c r="C3" i="8" s="1"/>
  <c r="V12" i="7"/>
  <c r="W12" i="7"/>
  <c r="T13" i="7"/>
  <c r="T14" i="7" s="1"/>
  <c r="T15" i="7" s="1"/>
  <c r="T16" i="7" s="1"/>
  <c r="T17" i="7" s="1"/>
  <c r="T18" i="7" s="1"/>
  <c r="T19" i="7" s="1"/>
  <c r="T20" i="7" s="1"/>
  <c r="T21" i="7" s="1"/>
  <c r="T22" i="7" s="1"/>
  <c r="T23" i="7" s="1"/>
  <c r="T24" i="7" s="1"/>
  <c r="T25" i="7" s="1"/>
  <c r="T26" i="7" s="1"/>
  <c r="T27" i="7" s="1"/>
  <c r="T28" i="7" s="1"/>
  <c r="T29" i="7" s="1"/>
  <c r="T30" i="7" s="1"/>
  <c r="T31" i="7" s="1"/>
  <c r="T32" i="7" s="1"/>
  <c r="T33" i="7" s="1"/>
  <c r="T34" i="7" s="1"/>
  <c r="T35" i="7" s="1"/>
  <c r="T12" i="7"/>
  <c r="Q12" i="5"/>
  <c r="R12" i="5"/>
  <c r="O12" i="5"/>
  <c r="O13" i="5" s="1"/>
  <c r="O14" i="5" s="1"/>
  <c r="O15" i="5" s="1"/>
  <c r="O16" i="5" s="1"/>
  <c r="O17" i="5" s="1"/>
  <c r="O18" i="5" s="1"/>
  <c r="O19" i="5" s="1"/>
  <c r="O20" i="5" s="1"/>
  <c r="O21" i="5" s="1"/>
  <c r="O22" i="5" s="1"/>
  <c r="O23" i="5" s="1"/>
  <c r="O24" i="5" s="1"/>
  <c r="O25" i="5" s="1"/>
  <c r="O26" i="5" s="1"/>
  <c r="O27" i="5" s="1"/>
  <c r="O28" i="5" s="1"/>
  <c r="O29" i="5" s="1"/>
  <c r="O30" i="5" s="1"/>
  <c r="O31" i="5" s="1"/>
  <c r="O32" i="5" s="1"/>
  <c r="O33" i="5" s="1"/>
  <c r="O34" i="5" s="1"/>
  <c r="O35" i="5" s="1"/>
  <c r="U12" i="7"/>
  <c r="U20" i="7"/>
  <c r="U28" i="7"/>
  <c r="U22" i="7"/>
  <c r="U15" i="7"/>
  <c r="U31" i="7"/>
  <c r="U24" i="7"/>
  <c r="U17" i="7"/>
  <c r="U33" i="7"/>
  <c r="U26" i="7"/>
  <c r="U13" i="7"/>
  <c r="U21" i="7"/>
  <c r="U29" i="7"/>
  <c r="U30" i="7"/>
  <c r="U23" i="7"/>
  <c r="U16" i="7"/>
  <c r="U32" i="7"/>
  <c r="U25" i="7"/>
  <c r="U18" i="7"/>
  <c r="U14" i="7"/>
  <c r="U34" i="7"/>
  <c r="U19" i="7"/>
  <c r="U27" i="7"/>
  <c r="U35" i="7"/>
  <c r="P12" i="5"/>
  <c r="P20" i="5"/>
  <c r="P28" i="5"/>
  <c r="P22" i="5"/>
  <c r="P31" i="5"/>
  <c r="P32" i="5"/>
  <c r="P18" i="5"/>
  <c r="P26" i="5"/>
  <c r="P34" i="5"/>
  <c r="P27" i="5"/>
  <c r="P13" i="5"/>
  <c r="P21" i="5"/>
  <c r="P29" i="5"/>
  <c r="P30" i="5"/>
  <c r="P14" i="5"/>
  <c r="P25" i="5"/>
  <c r="P15" i="5"/>
  <c r="P23" i="5"/>
  <c r="P24" i="5"/>
  <c r="P33" i="5"/>
  <c r="P35" i="5"/>
  <c r="P16" i="5"/>
  <c r="P17" i="5"/>
  <c r="P19" i="5"/>
  <c r="D38" i="11" l="1"/>
  <c r="E39" i="11"/>
  <c r="H39" i="11" s="1"/>
  <c r="C39" i="11"/>
  <c r="E38" i="11"/>
  <c r="H38" i="11" s="1"/>
  <c r="D41" i="10"/>
  <c r="E42" i="10" s="1"/>
  <c r="C42" i="10"/>
  <c r="H3" i="10"/>
  <c r="E97" i="8"/>
  <c r="F97" i="8" s="1"/>
  <c r="H97" i="8"/>
  <c r="H102" i="8" s="1"/>
  <c r="F102" i="8"/>
  <c r="G97" i="8"/>
  <c r="G102" i="8" s="1"/>
  <c r="R22" i="9"/>
  <c r="D13" i="9" s="1"/>
  <c r="F14" i="9" s="1"/>
  <c r="I14" i="9" s="1"/>
  <c r="E10" i="9"/>
  <c r="E4" i="9"/>
  <c r="E13" i="9"/>
  <c r="E3" i="9"/>
  <c r="E12" i="9"/>
  <c r="E2" i="9"/>
  <c r="E5" i="9"/>
  <c r="E3" i="8"/>
  <c r="C4" i="8"/>
  <c r="E2" i="8"/>
  <c r="W14" i="7"/>
  <c r="V14" i="7" s="1"/>
  <c r="W27" i="7"/>
  <c r="V27" i="7" s="1"/>
  <c r="W33" i="7"/>
  <c r="V33" i="7" s="1"/>
  <c r="W29" i="7"/>
  <c r="V29" i="7" s="1"/>
  <c r="W24" i="7"/>
  <c r="V24" i="7" s="1"/>
  <c r="W32" i="7"/>
  <c r="V32" i="7" s="1"/>
  <c r="W15" i="7"/>
  <c r="V15" i="7" s="1"/>
  <c r="W21" i="7"/>
  <c r="V21" i="7" s="1"/>
  <c r="W28" i="7"/>
  <c r="V28" i="7" s="1"/>
  <c r="W34" i="7"/>
  <c r="V34" i="7" s="1"/>
  <c r="W30" i="7"/>
  <c r="V30" i="7" s="1"/>
  <c r="W25" i="7"/>
  <c r="V25" i="7" s="1"/>
  <c r="W16" i="7"/>
  <c r="V16" i="7" s="1"/>
  <c r="W22" i="7"/>
  <c r="V22" i="7" s="1"/>
  <c r="W35" i="7"/>
  <c r="V35" i="7" s="1"/>
  <c r="W23" i="7"/>
  <c r="V23" i="7" s="1"/>
  <c r="W17" i="7"/>
  <c r="V17" i="7" s="1"/>
  <c r="W13" i="7"/>
  <c r="V13" i="7" s="1"/>
  <c r="W31" i="7"/>
  <c r="V31" i="7" s="1"/>
  <c r="W26" i="7"/>
  <c r="V26" i="7" s="1"/>
  <c r="W18" i="7"/>
  <c r="V18" i="7" s="1"/>
  <c r="W19" i="7"/>
  <c r="V19" i="7" s="1"/>
  <c r="W20" i="7"/>
  <c r="V20" i="7" s="1"/>
  <c r="R14" i="5"/>
  <c r="Q14" i="5" s="1"/>
  <c r="R27" i="5"/>
  <c r="Q27" i="5" s="1"/>
  <c r="R33" i="5"/>
  <c r="Q33" i="5" s="1"/>
  <c r="R29" i="5"/>
  <c r="Q29" i="5" s="1"/>
  <c r="R13" i="5"/>
  <c r="Q13" i="5" s="1"/>
  <c r="R31" i="5"/>
  <c r="Q31" i="5" s="1"/>
  <c r="R15" i="5"/>
  <c r="Q15" i="5" s="1"/>
  <c r="R21" i="5"/>
  <c r="Q21" i="5" s="1"/>
  <c r="R28" i="5"/>
  <c r="Q28" i="5" s="1"/>
  <c r="R34" i="5"/>
  <c r="Q34" i="5" s="1"/>
  <c r="R17" i="5"/>
  <c r="Q17" i="5" s="1"/>
  <c r="R25" i="5"/>
  <c r="Q25" i="5" s="1"/>
  <c r="R16" i="5"/>
  <c r="Q16" i="5" s="1"/>
  <c r="R22" i="5"/>
  <c r="Q22" i="5" s="1"/>
  <c r="R35" i="5"/>
  <c r="Q35" i="5" s="1"/>
  <c r="R23" i="5"/>
  <c r="Q23" i="5" s="1"/>
  <c r="R24" i="5"/>
  <c r="Q24" i="5" s="1"/>
  <c r="R18" i="5"/>
  <c r="Q18" i="5" s="1"/>
  <c r="R32" i="5"/>
  <c r="Q32" i="5" s="1"/>
  <c r="R20" i="5"/>
  <c r="Q20" i="5" s="1"/>
  <c r="R26" i="5"/>
  <c r="Q26" i="5" s="1"/>
  <c r="R30" i="5"/>
  <c r="Q30" i="5" s="1"/>
  <c r="R19" i="5"/>
  <c r="Q19" i="5" s="1"/>
  <c r="I38" i="11" l="1"/>
  <c r="K38" i="11" s="1"/>
  <c r="J38" i="11"/>
  <c r="D39" i="11"/>
  <c r="E40" i="11" s="1"/>
  <c r="H40" i="11" s="1"/>
  <c r="C40" i="11"/>
  <c r="I39" i="11"/>
  <c r="K39" i="11" s="1"/>
  <c r="J39" i="11"/>
  <c r="D42" i="10"/>
  <c r="C43" i="10" s="1"/>
  <c r="H4" i="10"/>
  <c r="J3" i="10"/>
  <c r="I3" i="10"/>
  <c r="J14" i="9"/>
  <c r="K14" i="9"/>
  <c r="C14" i="9"/>
  <c r="G2" i="8"/>
  <c r="F2" i="8"/>
  <c r="E4" i="8"/>
  <c r="C5" i="8"/>
  <c r="F3" i="8"/>
  <c r="H3" i="8" s="1"/>
  <c r="G3" i="8"/>
  <c r="C2" i="5"/>
  <c r="C13" i="7"/>
  <c r="E5" i="7" s="1"/>
  <c r="Q10" i="7"/>
  <c r="R10" i="7" s="1"/>
  <c r="Q11" i="7"/>
  <c r="R11" i="7" s="1"/>
  <c r="Q12" i="7"/>
  <c r="R12" i="7" s="1"/>
  <c r="Q13" i="7"/>
  <c r="R13" i="7" s="1"/>
  <c r="Q14" i="7"/>
  <c r="R14" i="7" s="1"/>
  <c r="Q15" i="7"/>
  <c r="R15" i="7" s="1"/>
  <c r="Q16" i="7"/>
  <c r="R16" i="7" s="1"/>
  <c r="Q17" i="7"/>
  <c r="R17" i="7" s="1"/>
  <c r="Q18" i="7"/>
  <c r="R18" i="7" s="1"/>
  <c r="Q19" i="7"/>
  <c r="R19" i="7" s="1"/>
  <c r="Q20" i="7"/>
  <c r="R20" i="7" s="1"/>
  <c r="Q9" i="7"/>
  <c r="R9" i="7" s="1"/>
  <c r="J40" i="11" l="1"/>
  <c r="I40" i="11"/>
  <c r="K40" i="11" s="1"/>
  <c r="D40" i="11"/>
  <c r="C41" i="11" s="1"/>
  <c r="E44" i="10"/>
  <c r="D43" i="10"/>
  <c r="C44" i="10" s="1"/>
  <c r="E43" i="10"/>
  <c r="J4" i="10"/>
  <c r="I4" i="10"/>
  <c r="K4" i="10" s="1"/>
  <c r="H5" i="10"/>
  <c r="K3" i="10"/>
  <c r="E14" i="9"/>
  <c r="D14" i="9"/>
  <c r="F15" i="9" s="1"/>
  <c r="I15" i="9" s="1"/>
  <c r="L14" i="9"/>
  <c r="C6" i="8"/>
  <c r="E5" i="8"/>
  <c r="F4" i="8"/>
  <c r="H4" i="8" s="1"/>
  <c r="G4" i="8"/>
  <c r="H2" i="8"/>
  <c r="R22" i="7"/>
  <c r="D13" i="7" s="1"/>
  <c r="F14" i="7" s="1"/>
  <c r="I14" i="7" s="1"/>
  <c r="E3" i="7"/>
  <c r="E7" i="7"/>
  <c r="E12" i="7"/>
  <c r="E4" i="7"/>
  <c r="E11" i="7"/>
  <c r="E10" i="7"/>
  <c r="E9" i="7"/>
  <c r="E8" i="7"/>
  <c r="E2" i="7"/>
  <c r="E6" i="7"/>
  <c r="E13" i="7"/>
  <c r="D41" i="11" l="1"/>
  <c r="C42" i="11" s="1"/>
  <c r="E41" i="11"/>
  <c r="H41" i="11" s="1"/>
  <c r="D44" i="10"/>
  <c r="E45" i="10" s="1"/>
  <c r="C45" i="10"/>
  <c r="J5" i="10"/>
  <c r="I5" i="10"/>
  <c r="K5" i="10" s="1"/>
  <c r="H6" i="10"/>
  <c r="C15" i="9"/>
  <c r="J15" i="9"/>
  <c r="K15" i="9"/>
  <c r="E15" i="9"/>
  <c r="D15" i="9"/>
  <c r="F16" i="9" s="1"/>
  <c r="I16" i="9" s="1"/>
  <c r="G5" i="8"/>
  <c r="F5" i="8"/>
  <c r="E6" i="8"/>
  <c r="C7" i="8"/>
  <c r="C14" i="7"/>
  <c r="K14" i="7"/>
  <c r="J14" i="7"/>
  <c r="L14" i="7" s="1"/>
  <c r="E14" i="7"/>
  <c r="D14" i="7"/>
  <c r="F15" i="7" s="1"/>
  <c r="I15" i="7" s="1"/>
  <c r="D42" i="11" l="1"/>
  <c r="C43" i="11" s="1"/>
  <c r="I41" i="11"/>
  <c r="K41" i="11" s="1"/>
  <c r="J41" i="11"/>
  <c r="E42" i="11"/>
  <c r="H42" i="11" s="1"/>
  <c r="E46" i="10"/>
  <c r="D45" i="10"/>
  <c r="C46" i="10" s="1"/>
  <c r="H7" i="10"/>
  <c r="I6" i="10"/>
  <c r="K6" i="10" s="1"/>
  <c r="J6" i="10"/>
  <c r="C16" i="9"/>
  <c r="E16" i="9"/>
  <c r="D16" i="9"/>
  <c r="F17" i="9" s="1"/>
  <c r="I17" i="9" s="1"/>
  <c r="C17" i="9"/>
  <c r="K16" i="9"/>
  <c r="J16" i="9"/>
  <c r="L16" i="9" s="1"/>
  <c r="L15" i="9"/>
  <c r="F6" i="8"/>
  <c r="H6" i="8" s="1"/>
  <c r="G6" i="8"/>
  <c r="H5" i="8"/>
  <c r="C8" i="8"/>
  <c r="E7" i="8"/>
  <c r="C15" i="7"/>
  <c r="D15" i="7" s="1"/>
  <c r="C16" i="7" s="1"/>
  <c r="K15" i="7"/>
  <c r="J15" i="7"/>
  <c r="E15" i="7"/>
  <c r="E43" i="11" l="1"/>
  <c r="H43" i="11" s="1"/>
  <c r="J43" i="11" s="1"/>
  <c r="D43" i="11"/>
  <c r="E44" i="11" s="1"/>
  <c r="H44" i="11" s="1"/>
  <c r="J42" i="11"/>
  <c r="I42" i="11"/>
  <c r="K42" i="11" s="1"/>
  <c r="I43" i="11"/>
  <c r="K43" i="11" s="1"/>
  <c r="E47" i="10"/>
  <c r="D46" i="10"/>
  <c r="C47" i="10" s="1"/>
  <c r="J7" i="10"/>
  <c r="I7" i="10"/>
  <c r="K7" i="10" s="1"/>
  <c r="H8" i="10"/>
  <c r="K17" i="9"/>
  <c r="J17" i="9"/>
  <c r="L17" i="9" s="1"/>
  <c r="D17" i="9"/>
  <c r="F18" i="9" s="1"/>
  <c r="I18" i="9" s="1"/>
  <c r="E17" i="9"/>
  <c r="C18" i="9"/>
  <c r="G7" i="8"/>
  <c r="F7" i="8"/>
  <c r="C9" i="8"/>
  <c r="E8" i="8"/>
  <c r="F16" i="7"/>
  <c r="I16" i="7" s="1"/>
  <c r="L15" i="7"/>
  <c r="E16" i="7"/>
  <c r="D16" i="7"/>
  <c r="C17" i="7" s="1"/>
  <c r="C44" i="11" l="1"/>
  <c r="J44" i="11"/>
  <c r="I44" i="11"/>
  <c r="K44" i="11" s="1"/>
  <c r="D44" i="11"/>
  <c r="E45" i="11" s="1"/>
  <c r="H45" i="11" s="1"/>
  <c r="C45" i="11"/>
  <c r="D47" i="10"/>
  <c r="C48" i="10" s="1"/>
  <c r="H9" i="10"/>
  <c r="I8" i="10"/>
  <c r="K8" i="10" s="1"/>
  <c r="J8" i="10"/>
  <c r="K18" i="9"/>
  <c r="J18" i="9"/>
  <c r="E18" i="9"/>
  <c r="D18" i="9"/>
  <c r="F19" i="9" s="1"/>
  <c r="I19" i="9" s="1"/>
  <c r="C19" i="9"/>
  <c r="E9" i="8"/>
  <c r="C10" i="8"/>
  <c r="H7" i="8"/>
  <c r="G8" i="8"/>
  <c r="F8" i="8"/>
  <c r="H8" i="8" s="1"/>
  <c r="J16" i="7"/>
  <c r="K16" i="7"/>
  <c r="F17" i="7"/>
  <c r="I17" i="7" s="1"/>
  <c r="E17" i="7"/>
  <c r="D17" i="7"/>
  <c r="C18" i="7" s="1"/>
  <c r="I45" i="11" l="1"/>
  <c r="K45" i="11" s="1"/>
  <c r="J45" i="11"/>
  <c r="D45" i="11"/>
  <c r="C46" i="11" s="1"/>
  <c r="D48" i="10"/>
  <c r="E49" i="10" s="1"/>
  <c r="E48" i="10"/>
  <c r="J9" i="10"/>
  <c r="I9" i="10"/>
  <c r="K9" i="10" s="1"/>
  <c r="H10" i="10"/>
  <c r="J19" i="9"/>
  <c r="L19" i="9" s="1"/>
  <c r="K19" i="9"/>
  <c r="L18" i="9"/>
  <c r="E19" i="9"/>
  <c r="D19" i="9"/>
  <c r="F20" i="9"/>
  <c r="I20" i="9" s="1"/>
  <c r="C20" i="9"/>
  <c r="C11" i="8"/>
  <c r="E10" i="8"/>
  <c r="G9" i="8"/>
  <c r="F9" i="8"/>
  <c r="H9" i="8" s="1"/>
  <c r="K17" i="7"/>
  <c r="J17" i="7"/>
  <c r="L17" i="7" s="1"/>
  <c r="L16" i="7"/>
  <c r="F18" i="7"/>
  <c r="I18" i="7" s="1"/>
  <c r="D18" i="7"/>
  <c r="C19" i="7" s="1"/>
  <c r="E18" i="7"/>
  <c r="E46" i="11" l="1"/>
  <c r="H46" i="11" s="1"/>
  <c r="D46" i="11"/>
  <c r="E47" i="11" s="1"/>
  <c r="H47" i="11" s="1"/>
  <c r="J46" i="11"/>
  <c r="I46" i="11"/>
  <c r="K46" i="11" s="1"/>
  <c r="C49" i="10"/>
  <c r="H11" i="10"/>
  <c r="I10" i="10"/>
  <c r="K10" i="10" s="1"/>
  <c r="J10" i="10"/>
  <c r="D20" i="9"/>
  <c r="F21" i="9" s="1"/>
  <c r="I21" i="9" s="1"/>
  <c r="E20" i="9"/>
  <c r="C21" i="9"/>
  <c r="K20" i="9"/>
  <c r="J20" i="9"/>
  <c r="E11" i="8"/>
  <c r="C12" i="8"/>
  <c r="G10" i="8"/>
  <c r="F10" i="8"/>
  <c r="H10" i="8" s="1"/>
  <c r="K18" i="7"/>
  <c r="J18" i="7"/>
  <c r="F19" i="7"/>
  <c r="I19" i="7" s="1"/>
  <c r="D19" i="7"/>
  <c r="F20" i="7" s="1"/>
  <c r="I20" i="7" s="1"/>
  <c r="E19" i="7"/>
  <c r="I47" i="11" l="1"/>
  <c r="K47" i="11" s="1"/>
  <c r="J47" i="11"/>
  <c r="C47" i="11"/>
  <c r="D49" i="10"/>
  <c r="C50" i="10" s="1"/>
  <c r="H12" i="10"/>
  <c r="J11" i="10"/>
  <c r="I11" i="10"/>
  <c r="K11" i="10" s="1"/>
  <c r="K21" i="9"/>
  <c r="J21" i="9"/>
  <c r="L21" i="9" s="1"/>
  <c r="L20" i="9"/>
  <c r="D21" i="9"/>
  <c r="C22" i="9" s="1"/>
  <c r="E21" i="9"/>
  <c r="C13" i="8"/>
  <c r="E12" i="8"/>
  <c r="F11" i="8"/>
  <c r="H11" i="8" s="1"/>
  <c r="G11" i="8"/>
  <c r="C20" i="7"/>
  <c r="D20" i="7" s="1"/>
  <c r="F21" i="7" s="1"/>
  <c r="I21" i="7" s="1"/>
  <c r="K20" i="7"/>
  <c r="J20" i="7"/>
  <c r="L20" i="7" s="1"/>
  <c r="J19" i="7"/>
  <c r="L19" i="7" s="1"/>
  <c r="K19" i="7"/>
  <c r="L18" i="7"/>
  <c r="D47" i="11" l="1"/>
  <c r="E48" i="11"/>
  <c r="H48" i="11" s="1"/>
  <c r="C48" i="11"/>
  <c r="D50" i="10"/>
  <c r="E51" i="10" s="1"/>
  <c r="C51" i="10"/>
  <c r="E50" i="10"/>
  <c r="J12" i="10"/>
  <c r="I12" i="10"/>
  <c r="K12" i="10" s="1"/>
  <c r="H13" i="10"/>
  <c r="E22" i="9"/>
  <c r="D22" i="9"/>
  <c r="F23" i="9" s="1"/>
  <c r="I23" i="9" s="1"/>
  <c r="C23" i="9"/>
  <c r="F22" i="9"/>
  <c r="I22" i="9" s="1"/>
  <c r="F12" i="8"/>
  <c r="H12" i="8" s="1"/>
  <c r="G12" i="8"/>
  <c r="C14" i="8"/>
  <c r="E13" i="8"/>
  <c r="E20" i="7"/>
  <c r="C21" i="7"/>
  <c r="D21" i="7" s="1"/>
  <c r="C22" i="7" s="1"/>
  <c r="K21" i="7"/>
  <c r="J21" i="7"/>
  <c r="D48" i="11" l="1"/>
  <c r="E49" i="11"/>
  <c r="H49" i="11" s="1"/>
  <c r="C49" i="11"/>
  <c r="J48" i="11"/>
  <c r="I48" i="11"/>
  <c r="K48" i="11" s="1"/>
  <c r="D51" i="10"/>
  <c r="E52" i="10" s="1"/>
  <c r="H14" i="10"/>
  <c r="J13" i="10"/>
  <c r="I13" i="10"/>
  <c r="K13" i="10" s="1"/>
  <c r="K23" i="9"/>
  <c r="J23" i="9"/>
  <c r="L23" i="9" s="1"/>
  <c r="J22" i="9"/>
  <c r="L22" i="9" s="1"/>
  <c r="K22" i="9"/>
  <c r="D23" i="9"/>
  <c r="E23" i="9"/>
  <c r="F24" i="9"/>
  <c r="I24" i="9" s="1"/>
  <c r="C24" i="9"/>
  <c r="G13" i="8"/>
  <c r="F13" i="8"/>
  <c r="H13" i="8" s="1"/>
  <c r="E14" i="8"/>
  <c r="C15" i="8"/>
  <c r="E21" i="7"/>
  <c r="F22" i="7"/>
  <c r="I22" i="7" s="1"/>
  <c r="L21" i="7"/>
  <c r="D22" i="7"/>
  <c r="C23" i="7" s="1"/>
  <c r="E22" i="7"/>
  <c r="D49" i="11" l="1"/>
  <c r="C50" i="11" s="1"/>
  <c r="J49" i="11"/>
  <c r="I49" i="11"/>
  <c r="K49" i="11" s="1"/>
  <c r="C52" i="10"/>
  <c r="H15" i="10"/>
  <c r="J14" i="10"/>
  <c r="I14" i="10"/>
  <c r="K14" i="10" s="1"/>
  <c r="E24" i="9"/>
  <c r="D24" i="9"/>
  <c r="F25" i="9" s="1"/>
  <c r="I25" i="9" s="1"/>
  <c r="C25" i="9"/>
  <c r="K24" i="9"/>
  <c r="J24" i="9"/>
  <c r="L24" i="9" s="1"/>
  <c r="C16" i="8"/>
  <c r="E15" i="8"/>
  <c r="F14" i="8"/>
  <c r="H14" i="8" s="1"/>
  <c r="G14" i="8"/>
  <c r="F23" i="7"/>
  <c r="I23" i="7" s="1"/>
  <c r="K22" i="7"/>
  <c r="J22" i="7"/>
  <c r="D23" i="7"/>
  <c r="C24" i="7" s="1"/>
  <c r="E23" i="7"/>
  <c r="D50" i="11" l="1"/>
  <c r="C51" i="11" s="1"/>
  <c r="E50" i="11"/>
  <c r="H50" i="11" s="1"/>
  <c r="D52" i="10"/>
  <c r="E53" i="10" s="1"/>
  <c r="C53" i="10"/>
  <c r="H16" i="10"/>
  <c r="I15" i="10"/>
  <c r="K15" i="10" s="1"/>
  <c r="J15" i="10"/>
  <c r="J25" i="9"/>
  <c r="L25" i="9" s="1"/>
  <c r="K25" i="9"/>
  <c r="E25" i="9"/>
  <c r="D25" i="9"/>
  <c r="F26" i="9"/>
  <c r="I26" i="9" s="1"/>
  <c r="C26" i="9"/>
  <c r="G15" i="8"/>
  <c r="F15" i="8"/>
  <c r="H15" i="8" s="1"/>
  <c r="E16" i="8"/>
  <c r="C17" i="8"/>
  <c r="L22" i="7"/>
  <c r="J23" i="7"/>
  <c r="L23" i="7" s="1"/>
  <c r="K23" i="7"/>
  <c r="F24" i="7"/>
  <c r="I24" i="7" s="1"/>
  <c r="D24" i="7"/>
  <c r="C25" i="7" s="1"/>
  <c r="E24" i="7"/>
  <c r="D51" i="11" l="1"/>
  <c r="E52" i="11" s="1"/>
  <c r="H52" i="11" s="1"/>
  <c r="J50" i="11"/>
  <c r="I50" i="11"/>
  <c r="K50" i="11" s="1"/>
  <c r="E51" i="11"/>
  <c r="H51" i="11" s="1"/>
  <c r="D53" i="10"/>
  <c r="C54" i="10" s="1"/>
  <c r="H17" i="10"/>
  <c r="J16" i="10"/>
  <c r="I16" i="10"/>
  <c r="K16" i="10" s="1"/>
  <c r="D26" i="9"/>
  <c r="F27" i="9" s="1"/>
  <c r="I27" i="9" s="1"/>
  <c r="E26" i="9"/>
  <c r="K26" i="9"/>
  <c r="J26" i="9"/>
  <c r="L26" i="9" s="1"/>
  <c r="C18" i="8"/>
  <c r="E17" i="8"/>
  <c r="G16" i="8"/>
  <c r="F16" i="8"/>
  <c r="H16" i="8" s="1"/>
  <c r="J24" i="7"/>
  <c r="L24" i="7" s="1"/>
  <c r="K24" i="7"/>
  <c r="F25" i="7"/>
  <c r="I25" i="7" s="1"/>
  <c r="E25" i="7"/>
  <c r="D25" i="7"/>
  <c r="C26" i="7" s="1"/>
  <c r="C52" i="11" l="1"/>
  <c r="J51" i="11"/>
  <c r="I51" i="11"/>
  <c r="K51" i="11" s="1"/>
  <c r="D52" i="11"/>
  <c r="E53" i="11" s="1"/>
  <c r="H53" i="11" s="1"/>
  <c r="C53" i="11"/>
  <c r="I52" i="11"/>
  <c r="K52" i="11" s="1"/>
  <c r="J52" i="11"/>
  <c r="D54" i="10"/>
  <c r="E55" i="10" s="1"/>
  <c r="E54" i="10"/>
  <c r="J17" i="10"/>
  <c r="I17" i="10"/>
  <c r="K17" i="10" s="1"/>
  <c r="H18" i="10"/>
  <c r="C27" i="9"/>
  <c r="K27" i="9"/>
  <c r="J27" i="9"/>
  <c r="L27" i="9" s="1"/>
  <c r="E27" i="9"/>
  <c r="D27" i="9"/>
  <c r="F28" i="9" s="1"/>
  <c r="I28" i="9" s="1"/>
  <c r="F17" i="8"/>
  <c r="H17" i="8" s="1"/>
  <c r="G17" i="8"/>
  <c r="E18" i="8"/>
  <c r="C19" i="8"/>
  <c r="J25" i="7"/>
  <c r="L25" i="7" s="1"/>
  <c r="K25" i="7"/>
  <c r="F26" i="7"/>
  <c r="I26" i="7" s="1"/>
  <c r="D26" i="7"/>
  <c r="F27" i="7" s="1"/>
  <c r="I27" i="7" s="1"/>
  <c r="E26" i="7"/>
  <c r="J53" i="11" l="1"/>
  <c r="I53" i="11"/>
  <c r="K53" i="11" s="1"/>
  <c r="D53" i="11"/>
  <c r="C54" i="11" s="1"/>
  <c r="C55" i="10"/>
  <c r="I18" i="10"/>
  <c r="K18" i="10" s="1"/>
  <c r="J18" i="10"/>
  <c r="H19" i="10"/>
  <c r="C28" i="9"/>
  <c r="J28" i="9"/>
  <c r="L28" i="9" s="1"/>
  <c r="K28" i="9"/>
  <c r="E28" i="9"/>
  <c r="D28" i="9"/>
  <c r="F29" i="9" s="1"/>
  <c r="I29" i="9" s="1"/>
  <c r="C29" i="9"/>
  <c r="C20" i="8"/>
  <c r="E19" i="8"/>
  <c r="G18" i="8"/>
  <c r="F18" i="8"/>
  <c r="H18" i="8" s="1"/>
  <c r="C27" i="7"/>
  <c r="D27" i="7" s="1"/>
  <c r="F28" i="7" s="1"/>
  <c r="I28" i="7" s="1"/>
  <c r="J27" i="7"/>
  <c r="L27" i="7" s="1"/>
  <c r="K27" i="7"/>
  <c r="J26" i="7"/>
  <c r="L26" i="7" s="1"/>
  <c r="K26" i="7"/>
  <c r="D54" i="11" l="1"/>
  <c r="C55" i="11" s="1"/>
  <c r="E54" i="11"/>
  <c r="H54" i="11" s="1"/>
  <c r="D55" i="10"/>
  <c r="C56" i="10" s="1"/>
  <c r="J19" i="10"/>
  <c r="I19" i="10"/>
  <c r="K19" i="10" s="1"/>
  <c r="H20" i="10"/>
  <c r="K29" i="9"/>
  <c r="J29" i="9"/>
  <c r="L29" i="9" s="1"/>
  <c r="D29" i="9"/>
  <c r="F30" i="9" s="1"/>
  <c r="I30" i="9" s="1"/>
  <c r="E29" i="9"/>
  <c r="C30" i="9"/>
  <c r="G19" i="8"/>
  <c r="F19" i="8"/>
  <c r="H19" i="8" s="1"/>
  <c r="C21" i="8"/>
  <c r="E20" i="8"/>
  <c r="E27" i="7"/>
  <c r="C28" i="7"/>
  <c r="D28" i="7" s="1"/>
  <c r="C29" i="7" s="1"/>
  <c r="J28" i="7"/>
  <c r="L28" i="7" s="1"/>
  <c r="K28" i="7"/>
  <c r="D55" i="11" l="1"/>
  <c r="C56" i="11"/>
  <c r="E56" i="11"/>
  <c r="H56" i="11" s="1"/>
  <c r="J54" i="11"/>
  <c r="I54" i="11"/>
  <c r="K54" i="11" s="1"/>
  <c r="E55" i="11"/>
  <c r="H55" i="11" s="1"/>
  <c r="D56" i="10"/>
  <c r="E57" i="10" s="1"/>
  <c r="C57" i="10"/>
  <c r="E56" i="10"/>
  <c r="J20" i="10"/>
  <c r="I20" i="10"/>
  <c r="K20" i="10" s="1"/>
  <c r="H21" i="10"/>
  <c r="E30" i="9"/>
  <c r="D30" i="9"/>
  <c r="F31" i="9" s="1"/>
  <c r="I31" i="9" s="1"/>
  <c r="K30" i="9"/>
  <c r="J30" i="9"/>
  <c r="L30" i="9" s="1"/>
  <c r="G20" i="8"/>
  <c r="F20" i="8"/>
  <c r="H20" i="8" s="1"/>
  <c r="C22" i="8"/>
  <c r="E21" i="8"/>
  <c r="E28" i="7"/>
  <c r="F29" i="7"/>
  <c r="I29" i="7" s="1"/>
  <c r="E29" i="7"/>
  <c r="D29" i="7"/>
  <c r="F30" i="7" s="1"/>
  <c r="I30" i="7" s="1"/>
  <c r="I55" i="11" l="1"/>
  <c r="K55" i="11" s="1"/>
  <c r="J55" i="11"/>
  <c r="J56" i="11"/>
  <c r="I56" i="11"/>
  <c r="K56" i="11" s="1"/>
  <c r="D56" i="11"/>
  <c r="C57" i="11" s="1"/>
  <c r="D57" i="10"/>
  <c r="C58" i="10" s="1"/>
  <c r="J21" i="10"/>
  <c r="I21" i="10"/>
  <c r="K21" i="10" s="1"/>
  <c r="H22" i="10"/>
  <c r="C31" i="9"/>
  <c r="J31" i="9"/>
  <c r="L31" i="9" s="1"/>
  <c r="K31" i="9"/>
  <c r="E31" i="9"/>
  <c r="D31" i="9"/>
  <c r="F32" i="9" s="1"/>
  <c r="I32" i="9" s="1"/>
  <c r="C32" i="9"/>
  <c r="G21" i="8"/>
  <c r="F21" i="8"/>
  <c r="H21" i="8" s="1"/>
  <c r="C23" i="8"/>
  <c r="E22" i="8"/>
  <c r="C30" i="7"/>
  <c r="E30" i="7" s="1"/>
  <c r="J30" i="7"/>
  <c r="L30" i="7" s="1"/>
  <c r="K30" i="7"/>
  <c r="K29" i="7"/>
  <c r="J29" i="7"/>
  <c r="L29" i="7" s="1"/>
  <c r="E57" i="11" l="1"/>
  <c r="H57" i="11" s="1"/>
  <c r="D57" i="11"/>
  <c r="C58" i="11" s="1"/>
  <c r="E58" i="11"/>
  <c r="H58" i="11" s="1"/>
  <c r="J57" i="11"/>
  <c r="I57" i="11"/>
  <c r="K57" i="11" s="1"/>
  <c r="D58" i="10"/>
  <c r="C59" i="10" s="1"/>
  <c r="E58" i="10"/>
  <c r="J22" i="10"/>
  <c r="I22" i="10"/>
  <c r="K22" i="10" s="1"/>
  <c r="H23" i="10"/>
  <c r="E32" i="9"/>
  <c r="D32" i="9"/>
  <c r="F33" i="9" s="1"/>
  <c r="I33" i="9" s="1"/>
  <c r="J32" i="9"/>
  <c r="L32" i="9" s="1"/>
  <c r="K32" i="9"/>
  <c r="F22" i="8"/>
  <c r="H22" i="8" s="1"/>
  <c r="G22" i="8"/>
  <c r="C24" i="8"/>
  <c r="E23" i="8"/>
  <c r="D30" i="7"/>
  <c r="F31" i="7" s="1"/>
  <c r="I31" i="7" s="1"/>
  <c r="C31" i="7"/>
  <c r="D31" i="7" s="1"/>
  <c r="K31" i="7"/>
  <c r="J31" i="7"/>
  <c r="L31" i="7" s="1"/>
  <c r="D58" i="11" l="1"/>
  <c r="C59" i="11" s="1"/>
  <c r="I58" i="11"/>
  <c r="K58" i="11" s="1"/>
  <c r="J58" i="11"/>
  <c r="D59" i="10"/>
  <c r="C60" i="10" s="1"/>
  <c r="E59" i="10"/>
  <c r="I23" i="10"/>
  <c r="K23" i="10" s="1"/>
  <c r="J23" i="10"/>
  <c r="H24" i="10"/>
  <c r="C33" i="9"/>
  <c r="K33" i="9"/>
  <c r="J33" i="9"/>
  <c r="L33" i="9" s="1"/>
  <c r="E33" i="9"/>
  <c r="D33" i="9"/>
  <c r="F34" i="9" s="1"/>
  <c r="I34" i="9" s="1"/>
  <c r="C34" i="9"/>
  <c r="G23" i="8"/>
  <c r="F23" i="8"/>
  <c r="H23" i="8" s="1"/>
  <c r="E24" i="8"/>
  <c r="C25" i="8"/>
  <c r="F32" i="7"/>
  <c r="I32" i="7" s="1"/>
  <c r="J32" i="7" s="1"/>
  <c r="L32" i="7" s="1"/>
  <c r="C32" i="7"/>
  <c r="D32" i="7" s="1"/>
  <c r="F33" i="7" s="1"/>
  <c r="I33" i="7" s="1"/>
  <c r="E31" i="7"/>
  <c r="D59" i="11" l="1"/>
  <c r="E60" i="11"/>
  <c r="H60" i="11" s="1"/>
  <c r="C60" i="11"/>
  <c r="E59" i="11"/>
  <c r="H59" i="11" s="1"/>
  <c r="D60" i="10"/>
  <c r="C61" i="10" s="1"/>
  <c r="E60" i="10"/>
  <c r="H25" i="10"/>
  <c r="I24" i="10"/>
  <c r="K24" i="10" s="1"/>
  <c r="J24" i="10"/>
  <c r="J34" i="9"/>
  <c r="L34" i="9" s="1"/>
  <c r="K34" i="9"/>
  <c r="E34" i="9"/>
  <c r="D34" i="9"/>
  <c r="F35" i="9" s="1"/>
  <c r="I35" i="9" s="1"/>
  <c r="C26" i="8"/>
  <c r="E25" i="8"/>
  <c r="G24" i="8"/>
  <c r="F24" i="8"/>
  <c r="H24" i="8" s="1"/>
  <c r="E32" i="7"/>
  <c r="K32" i="7"/>
  <c r="C33" i="7"/>
  <c r="E33" i="7" s="1"/>
  <c r="J33" i="7"/>
  <c r="L33" i="7" s="1"/>
  <c r="K33" i="7"/>
  <c r="J59" i="11" l="1"/>
  <c r="I59" i="11"/>
  <c r="K59" i="11" s="1"/>
  <c r="D60" i="11"/>
  <c r="E61" i="11" s="1"/>
  <c r="H61" i="11" s="1"/>
  <c r="I60" i="11"/>
  <c r="K60" i="11" s="1"/>
  <c r="J60" i="11"/>
  <c r="D61" i="10"/>
  <c r="E62" i="10" s="1"/>
  <c r="E61" i="10"/>
  <c r="J25" i="10"/>
  <c r="I25" i="10"/>
  <c r="K25" i="10" s="1"/>
  <c r="H26" i="10"/>
  <c r="C35" i="9"/>
  <c r="K35" i="9"/>
  <c r="J35" i="9"/>
  <c r="L35" i="9" s="1"/>
  <c r="E35" i="9"/>
  <c r="D35" i="9"/>
  <c r="F36" i="9"/>
  <c r="I36" i="9" s="1"/>
  <c r="C36" i="9"/>
  <c r="F25" i="8"/>
  <c r="H25" i="8" s="1"/>
  <c r="G25" i="8"/>
  <c r="E26" i="8"/>
  <c r="C27" i="8"/>
  <c r="D33" i="7"/>
  <c r="F34" i="7" s="1"/>
  <c r="I34" i="7" s="1"/>
  <c r="J34" i="7" s="1"/>
  <c r="L34" i="7" s="1"/>
  <c r="C61" i="11" l="1"/>
  <c r="J61" i="11"/>
  <c r="I61" i="11"/>
  <c r="K61" i="11" s="1"/>
  <c r="D61" i="11"/>
  <c r="E62" i="11" s="1"/>
  <c r="H62" i="11" s="1"/>
  <c r="C62" i="11"/>
  <c r="C62" i="10"/>
  <c r="I26" i="10"/>
  <c r="K26" i="10" s="1"/>
  <c r="J26" i="10"/>
  <c r="H27" i="10"/>
  <c r="D36" i="9"/>
  <c r="F37" i="9" s="1"/>
  <c r="I37" i="9" s="1"/>
  <c r="E36" i="9"/>
  <c r="C37" i="9"/>
  <c r="K36" i="9"/>
  <c r="J36" i="9"/>
  <c r="L36" i="9" s="1"/>
  <c r="C28" i="8"/>
  <c r="E27" i="8"/>
  <c r="G26" i="8"/>
  <c r="F26" i="8"/>
  <c r="H26" i="8" s="1"/>
  <c r="C34" i="7"/>
  <c r="E34" i="7" s="1"/>
  <c r="K34" i="7"/>
  <c r="J62" i="11" l="1"/>
  <c r="I62" i="11"/>
  <c r="K62" i="11" s="1"/>
  <c r="D62" i="11"/>
  <c r="E63" i="11" s="1"/>
  <c r="H63" i="11" s="1"/>
  <c r="D62" i="10"/>
  <c r="E63" i="10" s="1"/>
  <c r="C63" i="10"/>
  <c r="J27" i="10"/>
  <c r="I27" i="10"/>
  <c r="K27" i="10" s="1"/>
  <c r="H28" i="10"/>
  <c r="D37" i="9"/>
  <c r="F38" i="9"/>
  <c r="I38" i="9" s="1"/>
  <c r="E37" i="9"/>
  <c r="C38" i="9"/>
  <c r="K37" i="9"/>
  <c r="J37" i="9"/>
  <c r="L37" i="9" s="1"/>
  <c r="G27" i="8"/>
  <c r="F27" i="8"/>
  <c r="H27" i="8" s="1"/>
  <c r="C29" i="8"/>
  <c r="E28" i="8"/>
  <c r="D34" i="7"/>
  <c r="F35" i="7" s="1"/>
  <c r="I35" i="7" s="1"/>
  <c r="J35" i="7" s="1"/>
  <c r="L35" i="7" s="1"/>
  <c r="I63" i="11" l="1"/>
  <c r="K63" i="11" s="1"/>
  <c r="J63" i="11"/>
  <c r="C63" i="11"/>
  <c r="D63" i="10"/>
  <c r="E64" i="10" s="1"/>
  <c r="C64" i="10"/>
  <c r="J28" i="10"/>
  <c r="I28" i="10"/>
  <c r="K28" i="10" s="1"/>
  <c r="H29" i="10"/>
  <c r="E38" i="9"/>
  <c r="D38" i="9"/>
  <c r="F39" i="9" s="1"/>
  <c r="I39" i="9" s="1"/>
  <c r="K38" i="9"/>
  <c r="J38" i="9"/>
  <c r="L38" i="9" s="1"/>
  <c r="G28" i="8"/>
  <c r="F28" i="8"/>
  <c r="H28" i="8" s="1"/>
  <c r="C30" i="8"/>
  <c r="E29" i="8"/>
  <c r="C35" i="7"/>
  <c r="D35" i="7" s="1"/>
  <c r="K35" i="7"/>
  <c r="D63" i="11" l="1"/>
  <c r="E64" i="11" s="1"/>
  <c r="H64" i="11" s="1"/>
  <c r="C64" i="11"/>
  <c r="D64" i="10"/>
  <c r="E65" i="10" s="1"/>
  <c r="C65" i="10"/>
  <c r="H30" i="10"/>
  <c r="I29" i="10"/>
  <c r="K29" i="10" s="1"/>
  <c r="J29" i="10"/>
  <c r="C39" i="9"/>
  <c r="K39" i="9"/>
  <c r="J39" i="9"/>
  <c r="L39" i="9" s="1"/>
  <c r="E39" i="9"/>
  <c r="D39" i="9"/>
  <c r="F40" i="9" s="1"/>
  <c r="I40" i="9" s="1"/>
  <c r="G29" i="8"/>
  <c r="F29" i="8"/>
  <c r="H29" i="8" s="1"/>
  <c r="C31" i="8"/>
  <c r="E30" i="8"/>
  <c r="E35" i="7"/>
  <c r="C36" i="7"/>
  <c r="F36" i="7"/>
  <c r="I36" i="7" s="1"/>
  <c r="J64" i="11" l="1"/>
  <c r="I64" i="11"/>
  <c r="K64" i="11" s="1"/>
  <c r="D64" i="11"/>
  <c r="C65" i="11" s="1"/>
  <c r="D65" i="10"/>
  <c r="E66" i="10" s="1"/>
  <c r="C66" i="10"/>
  <c r="J30" i="10"/>
  <c r="I30" i="10"/>
  <c r="K30" i="10" s="1"/>
  <c r="H31" i="10"/>
  <c r="C40" i="9"/>
  <c r="J40" i="9"/>
  <c r="L40" i="9" s="1"/>
  <c r="K40" i="9"/>
  <c r="E40" i="9"/>
  <c r="D40" i="9"/>
  <c r="C41" i="9" s="1"/>
  <c r="F30" i="8"/>
  <c r="H30" i="8" s="1"/>
  <c r="G30" i="8"/>
  <c r="C32" i="8"/>
  <c r="E31" i="8"/>
  <c r="D36" i="7"/>
  <c r="F37" i="7" s="1"/>
  <c r="I37" i="7" s="1"/>
  <c r="E36" i="7"/>
  <c r="K36" i="7"/>
  <c r="J36" i="7"/>
  <c r="L36" i="7" s="1"/>
  <c r="D65" i="11" l="1"/>
  <c r="E66" i="11" s="1"/>
  <c r="H66" i="11" s="1"/>
  <c r="E65" i="11"/>
  <c r="H65" i="11" s="1"/>
  <c r="D66" i="10"/>
  <c r="C67" i="10" s="1"/>
  <c r="J31" i="10"/>
  <c r="I31" i="10"/>
  <c r="K31" i="10" s="1"/>
  <c r="H32" i="10"/>
  <c r="E41" i="9"/>
  <c r="D41" i="9"/>
  <c r="F42" i="9" s="1"/>
  <c r="I42" i="9" s="1"/>
  <c r="C42" i="9"/>
  <c r="F41" i="9"/>
  <c r="I41" i="9" s="1"/>
  <c r="G31" i="8"/>
  <c r="F31" i="8"/>
  <c r="H31" i="8" s="1"/>
  <c r="E32" i="8"/>
  <c r="C33" i="8"/>
  <c r="C37" i="7"/>
  <c r="D37" i="7" s="1"/>
  <c r="C38" i="7" s="1"/>
  <c r="K37" i="7"/>
  <c r="J37" i="7"/>
  <c r="L37" i="7" s="1"/>
  <c r="I66" i="11" l="1"/>
  <c r="K66" i="11" s="1"/>
  <c r="J66" i="11"/>
  <c r="J65" i="11"/>
  <c r="I65" i="11"/>
  <c r="K65" i="11" s="1"/>
  <c r="C66" i="11"/>
  <c r="D67" i="10"/>
  <c r="C68" i="10" s="1"/>
  <c r="E67" i="10"/>
  <c r="H33" i="10"/>
  <c r="I32" i="10"/>
  <c r="K32" i="10" s="1"/>
  <c r="J32" i="10"/>
  <c r="K42" i="9"/>
  <c r="J42" i="9"/>
  <c r="L42" i="9" s="1"/>
  <c r="J41" i="9"/>
  <c r="L41" i="9" s="1"/>
  <c r="K41" i="9"/>
  <c r="E42" i="9"/>
  <c r="D42" i="9"/>
  <c r="C43" i="9" s="1"/>
  <c r="C34" i="8"/>
  <c r="E33" i="8"/>
  <c r="G32" i="8"/>
  <c r="F32" i="8"/>
  <c r="H32" i="8" s="1"/>
  <c r="E37" i="7"/>
  <c r="F38" i="7"/>
  <c r="I38" i="7" s="1"/>
  <c r="E38" i="7"/>
  <c r="D38" i="7"/>
  <c r="F39" i="7" s="1"/>
  <c r="I39" i="7" s="1"/>
  <c r="D66" i="11" l="1"/>
  <c r="C67" i="11" s="1"/>
  <c r="E67" i="11"/>
  <c r="H67" i="11" s="1"/>
  <c r="D68" i="10"/>
  <c r="E69" i="10" s="1"/>
  <c r="C69" i="10"/>
  <c r="E68" i="10"/>
  <c r="J33" i="10"/>
  <c r="I33" i="10"/>
  <c r="K33" i="10" s="1"/>
  <c r="H34" i="10"/>
  <c r="E43" i="9"/>
  <c r="D43" i="9"/>
  <c r="F44" i="9" s="1"/>
  <c r="I44" i="9" s="1"/>
  <c r="F43" i="9"/>
  <c r="I43" i="9" s="1"/>
  <c r="F33" i="8"/>
  <c r="H33" i="8" s="1"/>
  <c r="G33" i="8"/>
  <c r="C35" i="8"/>
  <c r="E34" i="8"/>
  <c r="C39" i="7"/>
  <c r="D39" i="7" s="1"/>
  <c r="C40" i="7" s="1"/>
  <c r="J39" i="7"/>
  <c r="L39" i="7" s="1"/>
  <c r="K39" i="7"/>
  <c r="K38" i="7"/>
  <c r="J38" i="7"/>
  <c r="L38" i="7" s="1"/>
  <c r="D67" i="11" l="1"/>
  <c r="C68" i="11" s="1"/>
  <c r="J67" i="11"/>
  <c r="I67" i="11"/>
  <c r="K67" i="11" s="1"/>
  <c r="D69" i="10"/>
  <c r="C70" i="10" s="1"/>
  <c r="I34" i="10"/>
  <c r="K34" i="10" s="1"/>
  <c r="J34" i="10"/>
  <c r="H35" i="10"/>
  <c r="C44" i="9"/>
  <c r="K44" i="9"/>
  <c r="J44" i="9"/>
  <c r="L44" i="9" s="1"/>
  <c r="K43" i="9"/>
  <c r="J43" i="9"/>
  <c r="L43" i="9" s="1"/>
  <c r="D44" i="9"/>
  <c r="C45" i="9" s="1"/>
  <c r="E44" i="9"/>
  <c r="G34" i="8"/>
  <c r="F34" i="8"/>
  <c r="H34" i="8" s="1"/>
  <c r="C36" i="8"/>
  <c r="E35" i="8"/>
  <c r="E39" i="7"/>
  <c r="F40" i="7"/>
  <c r="I40" i="7" s="1"/>
  <c r="K40" i="7" s="1"/>
  <c r="E40" i="7"/>
  <c r="D40" i="7"/>
  <c r="F41" i="7" s="1"/>
  <c r="I41" i="7" s="1"/>
  <c r="D68" i="11" l="1"/>
  <c r="E69" i="11" s="1"/>
  <c r="H69" i="11" s="1"/>
  <c r="E68" i="11"/>
  <c r="H68" i="11" s="1"/>
  <c r="D70" i="10"/>
  <c r="E71" i="10" s="1"/>
  <c r="C71" i="10"/>
  <c r="E70" i="10"/>
  <c r="J35" i="10"/>
  <c r="I35" i="10"/>
  <c r="K35" i="10" s="1"/>
  <c r="H36" i="10"/>
  <c r="E45" i="9"/>
  <c r="D45" i="9"/>
  <c r="F46" i="9" s="1"/>
  <c r="I46" i="9" s="1"/>
  <c r="C46" i="9"/>
  <c r="F45" i="9"/>
  <c r="I45" i="9" s="1"/>
  <c r="G35" i="8"/>
  <c r="F35" i="8"/>
  <c r="H35" i="8" s="1"/>
  <c r="C37" i="8"/>
  <c r="E36" i="8"/>
  <c r="J40" i="7"/>
  <c r="L40" i="7" s="1"/>
  <c r="C41" i="7"/>
  <c r="E41" i="7" s="1"/>
  <c r="J41" i="7"/>
  <c r="L41" i="7" s="1"/>
  <c r="K41" i="7"/>
  <c r="C69" i="11" l="1"/>
  <c r="I69" i="11"/>
  <c r="K69" i="11" s="1"/>
  <c r="J69" i="11"/>
  <c r="J68" i="11"/>
  <c r="I68" i="11"/>
  <c r="K68" i="11" s="1"/>
  <c r="D69" i="11"/>
  <c r="E70" i="11" s="1"/>
  <c r="H70" i="11" s="1"/>
  <c r="D71" i="10"/>
  <c r="C72" i="10" s="1"/>
  <c r="J36" i="10"/>
  <c r="I36" i="10"/>
  <c r="K36" i="10" s="1"/>
  <c r="H37" i="10"/>
  <c r="K46" i="9"/>
  <c r="J46" i="9"/>
  <c r="L46" i="9" s="1"/>
  <c r="K45" i="9"/>
  <c r="J45" i="9"/>
  <c r="L45" i="9" s="1"/>
  <c r="E46" i="9"/>
  <c r="D46" i="9"/>
  <c r="C47" i="9" s="1"/>
  <c r="G36" i="8"/>
  <c r="F36" i="8"/>
  <c r="H36" i="8" s="1"/>
  <c r="C38" i="8"/>
  <c r="E37" i="8"/>
  <c r="D41" i="7"/>
  <c r="F42" i="7" s="1"/>
  <c r="I42" i="7" s="1"/>
  <c r="J42" i="7" s="1"/>
  <c r="L42" i="7" s="1"/>
  <c r="C70" i="11" l="1"/>
  <c r="I70" i="11"/>
  <c r="K70" i="11" s="1"/>
  <c r="J70" i="11"/>
  <c r="D70" i="11"/>
  <c r="C71" i="11" s="1"/>
  <c r="E71" i="11"/>
  <c r="H71" i="11" s="1"/>
  <c r="D72" i="10"/>
  <c r="E73" i="10" s="1"/>
  <c r="E72" i="10"/>
  <c r="J37" i="10"/>
  <c r="I37" i="10"/>
  <c r="K37" i="10" s="1"/>
  <c r="H38" i="10"/>
  <c r="E47" i="9"/>
  <c r="D47" i="9"/>
  <c r="F48" i="9" s="1"/>
  <c r="I48" i="9" s="1"/>
  <c r="F47" i="9"/>
  <c r="I47" i="9" s="1"/>
  <c r="G37" i="8"/>
  <c r="F37" i="8"/>
  <c r="H37" i="8" s="1"/>
  <c r="E38" i="8"/>
  <c r="C39" i="8"/>
  <c r="K42" i="7"/>
  <c r="C42" i="7"/>
  <c r="D71" i="11" l="1"/>
  <c r="E72" i="11" s="1"/>
  <c r="H72" i="11" s="1"/>
  <c r="I71" i="11"/>
  <c r="K71" i="11" s="1"/>
  <c r="J71" i="11"/>
  <c r="C73" i="10"/>
  <c r="J38" i="10"/>
  <c r="I38" i="10"/>
  <c r="K38" i="10" s="1"/>
  <c r="H39" i="10"/>
  <c r="C48" i="9"/>
  <c r="K47" i="9"/>
  <c r="J47" i="9"/>
  <c r="L47" i="9" s="1"/>
  <c r="D48" i="9"/>
  <c r="F49" i="9" s="1"/>
  <c r="I49" i="9" s="1"/>
  <c r="E48" i="9"/>
  <c r="K48" i="9"/>
  <c r="J48" i="9"/>
  <c r="L48" i="9" s="1"/>
  <c r="C40" i="8"/>
  <c r="E39" i="8"/>
  <c r="G38" i="8"/>
  <c r="F38" i="8"/>
  <c r="H38" i="8" s="1"/>
  <c r="D42" i="7"/>
  <c r="E42" i="7"/>
  <c r="J72" i="11" l="1"/>
  <c r="I72" i="11"/>
  <c r="K72" i="11" s="1"/>
  <c r="C72" i="11"/>
  <c r="D73" i="10"/>
  <c r="E74" i="10" s="1"/>
  <c r="H40" i="10"/>
  <c r="I39" i="10"/>
  <c r="K39" i="10" s="1"/>
  <c r="J39" i="10"/>
  <c r="C49" i="9"/>
  <c r="K49" i="9"/>
  <c r="J49" i="9"/>
  <c r="L49" i="9" s="1"/>
  <c r="E49" i="9"/>
  <c r="D49" i="9"/>
  <c r="F50" i="9" s="1"/>
  <c r="I50" i="9" s="1"/>
  <c r="C50" i="9"/>
  <c r="G39" i="8"/>
  <c r="F39" i="8"/>
  <c r="H39" i="8" s="1"/>
  <c r="E40" i="8"/>
  <c r="C41" i="8"/>
  <c r="C43" i="7"/>
  <c r="F43" i="7"/>
  <c r="I43" i="7" s="1"/>
  <c r="D72" i="11" l="1"/>
  <c r="E73" i="11" s="1"/>
  <c r="H73" i="11" s="1"/>
  <c r="C74" i="10"/>
  <c r="H41" i="10"/>
  <c r="J40" i="10"/>
  <c r="I40" i="10"/>
  <c r="K40" i="10" s="1"/>
  <c r="K50" i="9"/>
  <c r="J50" i="9"/>
  <c r="L50" i="9" s="1"/>
  <c r="E50" i="9"/>
  <c r="D50" i="9"/>
  <c r="F51" i="9" s="1"/>
  <c r="I51" i="9" s="1"/>
  <c r="C51" i="9"/>
  <c r="E41" i="8"/>
  <c r="C42" i="8"/>
  <c r="G40" i="8"/>
  <c r="F40" i="8"/>
  <c r="H40" i="8" s="1"/>
  <c r="K43" i="7"/>
  <c r="J43" i="7"/>
  <c r="L43" i="7" s="1"/>
  <c r="D43" i="7"/>
  <c r="F44" i="7" s="1"/>
  <c r="I44" i="7" s="1"/>
  <c r="E43" i="7"/>
  <c r="C73" i="11" l="1"/>
  <c r="D73" i="11"/>
  <c r="C74" i="11" s="1"/>
  <c r="J73" i="11"/>
  <c r="I73" i="11"/>
  <c r="K73" i="11" s="1"/>
  <c r="D74" i="10"/>
  <c r="C75" i="10" s="1"/>
  <c r="J41" i="10"/>
  <c r="I41" i="10"/>
  <c r="K41" i="10" s="1"/>
  <c r="H42" i="10"/>
  <c r="K51" i="9"/>
  <c r="J51" i="9"/>
  <c r="L51" i="9" s="1"/>
  <c r="E51" i="9"/>
  <c r="D51" i="9"/>
  <c r="F52" i="9"/>
  <c r="I52" i="9" s="1"/>
  <c r="C52" i="9"/>
  <c r="C43" i="8"/>
  <c r="E42" i="8"/>
  <c r="G41" i="8"/>
  <c r="F41" i="8"/>
  <c r="H41" i="8" s="1"/>
  <c r="C44" i="7"/>
  <c r="D44" i="7" s="1"/>
  <c r="F45" i="7" s="1"/>
  <c r="I45" i="7" s="1"/>
  <c r="J44" i="7"/>
  <c r="L44" i="7" s="1"/>
  <c r="K44" i="7"/>
  <c r="D74" i="11" l="1"/>
  <c r="C75" i="11" s="1"/>
  <c r="E74" i="11"/>
  <c r="H74" i="11" s="1"/>
  <c r="D75" i="10"/>
  <c r="C76" i="10" s="1"/>
  <c r="E75" i="10"/>
  <c r="I42" i="10"/>
  <c r="K42" i="10" s="1"/>
  <c r="J42" i="10"/>
  <c r="H43" i="10"/>
  <c r="D52" i="9"/>
  <c r="F53" i="9" s="1"/>
  <c r="I53" i="9" s="1"/>
  <c r="E52" i="9"/>
  <c r="C53" i="9"/>
  <c r="K52" i="9"/>
  <c r="J52" i="9"/>
  <c r="L52" i="9" s="1"/>
  <c r="G42" i="8"/>
  <c r="F42" i="8"/>
  <c r="H42" i="8" s="1"/>
  <c r="E43" i="8"/>
  <c r="C44" i="8"/>
  <c r="C45" i="7"/>
  <c r="E45" i="7" s="1"/>
  <c r="E44" i="7"/>
  <c r="J45" i="7"/>
  <c r="L45" i="7" s="1"/>
  <c r="K45" i="7"/>
  <c r="E75" i="11" l="1"/>
  <c r="H75" i="11" s="1"/>
  <c r="J75" i="11" s="1"/>
  <c r="D75" i="11"/>
  <c r="C76" i="11" s="1"/>
  <c r="E76" i="11"/>
  <c r="H76" i="11" s="1"/>
  <c r="J74" i="11"/>
  <c r="I74" i="11"/>
  <c r="K74" i="11" s="1"/>
  <c r="I75" i="11"/>
  <c r="K75" i="11" s="1"/>
  <c r="D76" i="10"/>
  <c r="C77" i="10" s="1"/>
  <c r="E76" i="10"/>
  <c r="J43" i="10"/>
  <c r="I43" i="10"/>
  <c r="K43" i="10" s="1"/>
  <c r="H44" i="10"/>
  <c r="K53" i="9"/>
  <c r="J53" i="9"/>
  <c r="L53" i="9" s="1"/>
  <c r="E53" i="9"/>
  <c r="D53" i="9"/>
  <c r="F54" i="9" s="1"/>
  <c r="I54" i="9" s="1"/>
  <c r="C54" i="9"/>
  <c r="C45" i="8"/>
  <c r="E44" i="8"/>
  <c r="F43" i="8"/>
  <c r="H43" i="8" s="1"/>
  <c r="G43" i="8"/>
  <c r="D45" i="7"/>
  <c r="F46" i="7" s="1"/>
  <c r="I46" i="7" s="1"/>
  <c r="D76" i="11" l="1"/>
  <c r="E77" i="11" s="1"/>
  <c r="H77" i="11" s="1"/>
  <c r="J76" i="11"/>
  <c r="I76" i="11"/>
  <c r="K76" i="11" s="1"/>
  <c r="D77" i="10"/>
  <c r="E78" i="10" s="1"/>
  <c r="E77" i="10"/>
  <c r="H45" i="10"/>
  <c r="I44" i="10"/>
  <c r="K44" i="10" s="1"/>
  <c r="J44" i="10"/>
  <c r="K54" i="9"/>
  <c r="J54" i="9"/>
  <c r="L54" i="9" s="1"/>
  <c r="E54" i="9"/>
  <c r="D54" i="9"/>
  <c r="F55" i="9" s="1"/>
  <c r="I55" i="9" s="1"/>
  <c r="C55" i="9"/>
  <c r="G44" i="8"/>
  <c r="F44" i="8"/>
  <c r="H44" i="8" s="1"/>
  <c r="C46" i="8"/>
  <c r="E45" i="8"/>
  <c r="C46" i="7"/>
  <c r="E46" i="7" s="1"/>
  <c r="J46" i="7"/>
  <c r="L46" i="7" s="1"/>
  <c r="K46" i="7"/>
  <c r="C77" i="11" l="1"/>
  <c r="J77" i="11"/>
  <c r="I77" i="11"/>
  <c r="K77" i="11" s="1"/>
  <c r="D77" i="11"/>
  <c r="E78" i="11" s="1"/>
  <c r="H78" i="11" s="1"/>
  <c r="C78" i="10"/>
  <c r="I45" i="10"/>
  <c r="K45" i="10" s="1"/>
  <c r="J45" i="10"/>
  <c r="H46" i="10"/>
  <c r="K55" i="9"/>
  <c r="J55" i="9"/>
  <c r="L55" i="9" s="1"/>
  <c r="D55" i="9"/>
  <c r="F56" i="9" s="1"/>
  <c r="I56" i="9" s="1"/>
  <c r="E55" i="9"/>
  <c r="C56" i="9"/>
  <c r="G45" i="8"/>
  <c r="F45" i="8"/>
  <c r="H45" i="8" s="1"/>
  <c r="E46" i="8"/>
  <c r="C47" i="8"/>
  <c r="D46" i="7"/>
  <c r="F47" i="7" s="1"/>
  <c r="I47" i="7" s="1"/>
  <c r="C78" i="11" l="1"/>
  <c r="J78" i="11"/>
  <c r="I78" i="11"/>
  <c r="K78" i="11" s="1"/>
  <c r="D78" i="11"/>
  <c r="E79" i="11"/>
  <c r="H79" i="11" s="1"/>
  <c r="C79" i="11"/>
  <c r="D78" i="10"/>
  <c r="C79" i="10" s="1"/>
  <c r="J46" i="10"/>
  <c r="I46" i="10"/>
  <c r="K46" i="10" s="1"/>
  <c r="H47" i="10"/>
  <c r="D56" i="9"/>
  <c r="F57" i="9" s="1"/>
  <c r="I57" i="9" s="1"/>
  <c r="E56" i="9"/>
  <c r="K56" i="9"/>
  <c r="J56" i="9"/>
  <c r="L56" i="9" s="1"/>
  <c r="C48" i="8"/>
  <c r="E47" i="8"/>
  <c r="G46" i="8"/>
  <c r="F46" i="8"/>
  <c r="H46" i="8" s="1"/>
  <c r="C47" i="7"/>
  <c r="E47" i="7" s="1"/>
  <c r="D47" i="7"/>
  <c r="F48" i="7" s="1"/>
  <c r="I48" i="7" s="1"/>
  <c r="J47" i="7"/>
  <c r="L47" i="7" s="1"/>
  <c r="K47" i="7"/>
  <c r="D79" i="11" l="1"/>
  <c r="C80" i="11" s="1"/>
  <c r="I79" i="11"/>
  <c r="K79" i="11" s="1"/>
  <c r="J79" i="11"/>
  <c r="D79" i="10"/>
  <c r="C80" i="10" s="1"/>
  <c r="E79" i="10"/>
  <c r="H48" i="10"/>
  <c r="J47" i="10"/>
  <c r="I47" i="10"/>
  <c r="K47" i="10" s="1"/>
  <c r="C57" i="9"/>
  <c r="K57" i="9"/>
  <c r="J57" i="9"/>
  <c r="L57" i="9" s="1"/>
  <c r="E57" i="9"/>
  <c r="D57" i="9"/>
  <c r="F58" i="9" s="1"/>
  <c r="I58" i="9" s="1"/>
  <c r="C58" i="9"/>
  <c r="G47" i="8"/>
  <c r="F47" i="8"/>
  <c r="H47" i="8" s="1"/>
  <c r="E48" i="8"/>
  <c r="C49" i="8"/>
  <c r="C48" i="7"/>
  <c r="D48" i="7" s="1"/>
  <c r="J48" i="7"/>
  <c r="L48" i="7" s="1"/>
  <c r="K48" i="7"/>
  <c r="D80" i="11" l="1"/>
  <c r="E81" i="11" s="1"/>
  <c r="H81" i="11" s="1"/>
  <c r="C81" i="11"/>
  <c r="E80" i="11"/>
  <c r="H80" i="11" s="1"/>
  <c r="D80" i="10"/>
  <c r="E81" i="10" s="1"/>
  <c r="E80" i="10"/>
  <c r="J48" i="10"/>
  <c r="I48" i="10"/>
  <c r="K48" i="10" s="1"/>
  <c r="H49" i="10"/>
  <c r="K58" i="9"/>
  <c r="J58" i="9"/>
  <c r="L58" i="9" s="1"/>
  <c r="E58" i="9"/>
  <c r="D58" i="9"/>
  <c r="F59" i="9" s="1"/>
  <c r="I59" i="9" s="1"/>
  <c r="C59" i="9"/>
  <c r="E49" i="8"/>
  <c r="C50" i="8"/>
  <c r="G48" i="8"/>
  <c r="F48" i="8"/>
  <c r="H48" i="8" s="1"/>
  <c r="E48" i="7"/>
  <c r="F49" i="7"/>
  <c r="I49" i="7" s="1"/>
  <c r="C49" i="7"/>
  <c r="J80" i="11" l="1"/>
  <c r="I80" i="11"/>
  <c r="K80" i="11" s="1"/>
  <c r="D81" i="11"/>
  <c r="C82" i="11"/>
  <c r="E82" i="11"/>
  <c r="H82" i="11" s="1"/>
  <c r="J81" i="11"/>
  <c r="I81" i="11"/>
  <c r="K81" i="11" s="1"/>
  <c r="C81" i="10"/>
  <c r="J49" i="10"/>
  <c r="I49" i="10"/>
  <c r="K49" i="10" s="1"/>
  <c r="H50" i="10"/>
  <c r="K59" i="9"/>
  <c r="J59" i="9"/>
  <c r="L59" i="9" s="1"/>
  <c r="E59" i="9"/>
  <c r="D59" i="9"/>
  <c r="F60" i="9" s="1"/>
  <c r="I60" i="9" s="1"/>
  <c r="C51" i="8"/>
  <c r="E50" i="8"/>
  <c r="G49" i="8"/>
  <c r="F49" i="8"/>
  <c r="H49" i="8" s="1"/>
  <c r="E49" i="7"/>
  <c r="D49" i="7"/>
  <c r="F50" i="7" s="1"/>
  <c r="I50" i="7" s="1"/>
  <c r="J49" i="7"/>
  <c r="L49" i="7" s="1"/>
  <c r="K49" i="7"/>
  <c r="I82" i="11" l="1"/>
  <c r="K82" i="11" s="1"/>
  <c r="J82" i="11"/>
  <c r="D82" i="11"/>
  <c r="C83" i="11" s="1"/>
  <c r="D81" i="10"/>
  <c r="C82" i="10" s="1"/>
  <c r="H51" i="10"/>
  <c r="J50" i="10"/>
  <c r="I50" i="10"/>
  <c r="K50" i="10" s="1"/>
  <c r="C60" i="9"/>
  <c r="E60" i="9" s="1"/>
  <c r="K60" i="9"/>
  <c r="J60" i="9"/>
  <c r="L60" i="9" s="1"/>
  <c r="G50" i="8"/>
  <c r="F50" i="8"/>
  <c r="H50" i="8" s="1"/>
  <c r="E51" i="8"/>
  <c r="C52" i="8"/>
  <c r="C50" i="7"/>
  <c r="E50" i="7" s="1"/>
  <c r="J50" i="7"/>
  <c r="L50" i="7" s="1"/>
  <c r="K50" i="7"/>
  <c r="D83" i="11" l="1"/>
  <c r="C84" i="11" s="1"/>
  <c r="E84" i="11"/>
  <c r="H84" i="11" s="1"/>
  <c r="E83" i="11"/>
  <c r="H83" i="11" s="1"/>
  <c r="D82" i="10"/>
  <c r="E83" i="10" s="1"/>
  <c r="E82" i="10"/>
  <c r="H52" i="10"/>
  <c r="J51" i="10"/>
  <c r="I51" i="10"/>
  <c r="K51" i="10" s="1"/>
  <c r="D60" i="9"/>
  <c r="C61" i="9" s="1"/>
  <c r="E61" i="9"/>
  <c r="D61" i="9"/>
  <c r="F62" i="9"/>
  <c r="I62" i="9" s="1"/>
  <c r="C62" i="9"/>
  <c r="F61" i="9"/>
  <c r="I61" i="9" s="1"/>
  <c r="C53" i="8"/>
  <c r="E52" i="8"/>
  <c r="F51" i="8"/>
  <c r="H51" i="8" s="1"/>
  <c r="G51" i="8"/>
  <c r="D50" i="7"/>
  <c r="C51" i="7" s="1"/>
  <c r="D84" i="11" l="1"/>
  <c r="E85" i="11" s="1"/>
  <c r="H85" i="11" s="1"/>
  <c r="I83" i="11"/>
  <c r="K83" i="11" s="1"/>
  <c r="J83" i="11"/>
  <c r="J84" i="11"/>
  <c r="I84" i="11"/>
  <c r="K84" i="11" s="1"/>
  <c r="C83" i="10"/>
  <c r="I52" i="10"/>
  <c r="K52" i="10" s="1"/>
  <c r="J52" i="10"/>
  <c r="H53" i="10"/>
  <c r="K61" i="9"/>
  <c r="J61" i="9"/>
  <c r="L61" i="9" s="1"/>
  <c r="E62" i="9"/>
  <c r="D62" i="9"/>
  <c r="F63" i="9" s="1"/>
  <c r="I63" i="9" s="1"/>
  <c r="K62" i="9"/>
  <c r="J62" i="9"/>
  <c r="L62" i="9" s="1"/>
  <c r="G52" i="8"/>
  <c r="F52" i="8"/>
  <c r="H52" i="8" s="1"/>
  <c r="C54" i="8"/>
  <c r="E53" i="8"/>
  <c r="F51" i="7"/>
  <c r="I51" i="7" s="1"/>
  <c r="J51" i="7" s="1"/>
  <c r="L51" i="7" s="1"/>
  <c r="D51" i="7"/>
  <c r="C52" i="7" s="1"/>
  <c r="E51" i="7"/>
  <c r="C85" i="11" l="1"/>
  <c r="J85" i="11"/>
  <c r="I85" i="11"/>
  <c r="K85" i="11" s="1"/>
  <c r="D85" i="11"/>
  <c r="E86" i="11" s="1"/>
  <c r="H86" i="11" s="1"/>
  <c r="C86" i="11"/>
  <c r="D83" i="10"/>
  <c r="C84" i="10" s="1"/>
  <c r="H54" i="10"/>
  <c r="J53" i="10"/>
  <c r="I53" i="10"/>
  <c r="K53" i="10" s="1"/>
  <c r="C63" i="9"/>
  <c r="K63" i="9"/>
  <c r="J63" i="9"/>
  <c r="L63" i="9" s="1"/>
  <c r="E63" i="9"/>
  <c r="D63" i="9"/>
  <c r="F64" i="9" s="1"/>
  <c r="I64" i="9" s="1"/>
  <c r="G53" i="8"/>
  <c r="F53" i="8"/>
  <c r="H53" i="8" s="1"/>
  <c r="E54" i="8"/>
  <c r="C55" i="8"/>
  <c r="F52" i="7"/>
  <c r="I52" i="7" s="1"/>
  <c r="K52" i="7" s="1"/>
  <c r="K51" i="7"/>
  <c r="D52" i="7"/>
  <c r="F53" i="7" s="1"/>
  <c r="I53" i="7" s="1"/>
  <c r="E52" i="7"/>
  <c r="I86" i="11" l="1"/>
  <c r="K86" i="11" s="1"/>
  <c r="J86" i="11"/>
  <c r="D86" i="11"/>
  <c r="E87" i="11" s="1"/>
  <c r="H87" i="11" s="1"/>
  <c r="D84" i="10"/>
  <c r="C85" i="10" s="1"/>
  <c r="E84" i="10"/>
  <c r="J54" i="10"/>
  <c r="I54" i="10"/>
  <c r="K54" i="10" s="1"/>
  <c r="H55" i="10"/>
  <c r="C64" i="9"/>
  <c r="K64" i="9"/>
  <c r="J64" i="9"/>
  <c r="L64" i="9" s="1"/>
  <c r="D64" i="9"/>
  <c r="C65" i="9" s="1"/>
  <c r="E64" i="9"/>
  <c r="C56" i="8"/>
  <c r="E55" i="8"/>
  <c r="G54" i="8"/>
  <c r="F54" i="8"/>
  <c r="H54" i="8" s="1"/>
  <c r="J52" i="7"/>
  <c r="L52" i="7" s="1"/>
  <c r="C53" i="7"/>
  <c r="D53" i="7" s="1"/>
  <c r="J53" i="7"/>
  <c r="L53" i="7" s="1"/>
  <c r="K53" i="7"/>
  <c r="C87" i="11" l="1"/>
  <c r="D87" i="11" s="1"/>
  <c r="I87" i="11"/>
  <c r="K87" i="11" s="1"/>
  <c r="J87" i="11"/>
  <c r="D85" i="10"/>
  <c r="E86" i="10" s="1"/>
  <c r="C86" i="10"/>
  <c r="E85" i="10"/>
  <c r="H56" i="10"/>
  <c r="J55" i="10"/>
  <c r="I55" i="10"/>
  <c r="K55" i="10" s="1"/>
  <c r="E65" i="9"/>
  <c r="D65" i="9"/>
  <c r="F66" i="9" s="1"/>
  <c r="I66" i="9" s="1"/>
  <c r="C66" i="9"/>
  <c r="F65" i="9"/>
  <c r="I65" i="9" s="1"/>
  <c r="G55" i="8"/>
  <c r="F55" i="8"/>
  <c r="H55" i="8" s="1"/>
  <c r="E56" i="8"/>
  <c r="C57" i="8"/>
  <c r="E53" i="7"/>
  <c r="F54" i="7"/>
  <c r="I54" i="7" s="1"/>
  <c r="K54" i="7" s="1"/>
  <c r="C54" i="7"/>
  <c r="E54" i="7" s="1"/>
  <c r="E88" i="11" l="1"/>
  <c r="H88" i="11" s="1"/>
  <c r="C88" i="11"/>
  <c r="J88" i="11"/>
  <c r="I88" i="11"/>
  <c r="K88" i="11" s="1"/>
  <c r="D88" i="11"/>
  <c r="E89" i="11" s="1"/>
  <c r="H89" i="11" s="1"/>
  <c r="D86" i="10"/>
  <c r="C87" i="10" s="1"/>
  <c r="H57" i="10"/>
  <c r="I56" i="10"/>
  <c r="K56" i="10" s="1"/>
  <c r="J56" i="10"/>
  <c r="K66" i="9"/>
  <c r="J66" i="9"/>
  <c r="L66" i="9" s="1"/>
  <c r="K65" i="9"/>
  <c r="J65" i="9"/>
  <c r="L65" i="9" s="1"/>
  <c r="D66" i="9"/>
  <c r="E66" i="9"/>
  <c r="F67" i="9"/>
  <c r="I67" i="9" s="1"/>
  <c r="C67" i="9"/>
  <c r="E57" i="8"/>
  <c r="C58" i="8"/>
  <c r="G56" i="8"/>
  <c r="F56" i="8"/>
  <c r="H56" i="8" s="1"/>
  <c r="J54" i="7"/>
  <c r="L54" i="7" s="1"/>
  <c r="D54" i="7"/>
  <c r="C55" i="7" s="1"/>
  <c r="E55" i="7" s="1"/>
  <c r="J89" i="11" l="1"/>
  <c r="I89" i="11"/>
  <c r="K89" i="11" s="1"/>
  <c r="C89" i="11"/>
  <c r="E88" i="10"/>
  <c r="D87" i="10"/>
  <c r="C88" i="10" s="1"/>
  <c r="E87" i="10"/>
  <c r="J57" i="10"/>
  <c r="I57" i="10"/>
  <c r="K57" i="10" s="1"/>
  <c r="H58" i="10"/>
  <c r="E67" i="9"/>
  <c r="D67" i="9"/>
  <c r="F68" i="9" s="1"/>
  <c r="I68" i="9" s="1"/>
  <c r="K67" i="9"/>
  <c r="J67" i="9"/>
  <c r="L67" i="9" s="1"/>
  <c r="C59" i="8"/>
  <c r="E58" i="8"/>
  <c r="G57" i="8"/>
  <c r="F57" i="8"/>
  <c r="H57" i="8" s="1"/>
  <c r="D55" i="7"/>
  <c r="C56" i="7" s="1"/>
  <c r="E56" i="7" s="1"/>
  <c r="F55" i="7"/>
  <c r="I55" i="7" s="1"/>
  <c r="K55" i="7" s="1"/>
  <c r="D89" i="11" l="1"/>
  <c r="E90" i="11" s="1"/>
  <c r="H90" i="11" s="1"/>
  <c r="D88" i="10"/>
  <c r="E89" i="10" s="1"/>
  <c r="H59" i="10"/>
  <c r="I58" i="10"/>
  <c r="K58" i="10" s="1"/>
  <c r="J58" i="10"/>
  <c r="C68" i="9"/>
  <c r="K68" i="9"/>
  <c r="J68" i="9"/>
  <c r="L68" i="9" s="1"/>
  <c r="D68" i="9"/>
  <c r="F69" i="9" s="1"/>
  <c r="I69" i="9" s="1"/>
  <c r="E68" i="9"/>
  <c r="C69" i="9"/>
  <c r="G58" i="8"/>
  <c r="F58" i="8"/>
  <c r="H58" i="8" s="1"/>
  <c r="E59" i="8"/>
  <c r="C60" i="8"/>
  <c r="J55" i="7"/>
  <c r="L55" i="7" s="1"/>
  <c r="F56" i="7"/>
  <c r="I56" i="7" s="1"/>
  <c r="J56" i="7" s="1"/>
  <c r="L56" i="7" s="1"/>
  <c r="D56" i="7"/>
  <c r="C57" i="7" s="1"/>
  <c r="E57" i="7" s="1"/>
  <c r="C90" i="11" l="1"/>
  <c r="J90" i="11"/>
  <c r="I90" i="11"/>
  <c r="K90" i="11" s="1"/>
  <c r="D90" i="11"/>
  <c r="C91" i="11" s="1"/>
  <c r="C89" i="10"/>
  <c r="H60" i="10"/>
  <c r="J59" i="10"/>
  <c r="I59" i="10"/>
  <c r="K59" i="10" s="1"/>
  <c r="K69" i="9"/>
  <c r="J69" i="9"/>
  <c r="L69" i="9" s="1"/>
  <c r="E69" i="9"/>
  <c r="D69" i="9"/>
  <c r="F70" i="9"/>
  <c r="I70" i="9" s="1"/>
  <c r="C70" i="9"/>
  <c r="C61" i="8"/>
  <c r="E60" i="8"/>
  <c r="F59" i="8"/>
  <c r="H59" i="8" s="1"/>
  <c r="G59" i="8"/>
  <c r="K56" i="7"/>
  <c r="F57" i="7"/>
  <c r="I57" i="7" s="1"/>
  <c r="D57" i="7"/>
  <c r="F58" i="7" s="1"/>
  <c r="I58" i="7" s="1"/>
  <c r="K58" i="7" s="1"/>
  <c r="D91" i="11" l="1"/>
  <c r="C92" i="11" s="1"/>
  <c r="E91" i="11"/>
  <c r="H91" i="11" s="1"/>
  <c r="E90" i="10"/>
  <c r="D89" i="10"/>
  <c r="C90" i="10"/>
  <c r="I60" i="10"/>
  <c r="K60" i="10" s="1"/>
  <c r="J60" i="10"/>
  <c r="H61" i="10"/>
  <c r="K70" i="9"/>
  <c r="J70" i="9"/>
  <c r="L70" i="9" s="1"/>
  <c r="D70" i="9"/>
  <c r="F71" i="9" s="1"/>
  <c r="I71" i="9" s="1"/>
  <c r="E70" i="9"/>
  <c r="C71" i="9"/>
  <c r="G60" i="8"/>
  <c r="F60" i="8"/>
  <c r="H60" i="8" s="1"/>
  <c r="C62" i="8"/>
  <c r="E61" i="8"/>
  <c r="J58" i="7"/>
  <c r="L58" i="7" s="1"/>
  <c r="K57" i="7"/>
  <c r="J57" i="7"/>
  <c r="L57" i="7" s="1"/>
  <c r="C58" i="7"/>
  <c r="D92" i="11" l="1"/>
  <c r="E93" i="11" s="1"/>
  <c r="H93" i="11" s="1"/>
  <c r="C93" i="11"/>
  <c r="J91" i="11"/>
  <c r="I91" i="11"/>
  <c r="K91" i="11" s="1"/>
  <c r="E92" i="11"/>
  <c r="H92" i="11" s="1"/>
  <c r="D90" i="10"/>
  <c r="C91" i="10" s="1"/>
  <c r="H62" i="10"/>
  <c r="I61" i="10"/>
  <c r="K61" i="10" s="1"/>
  <c r="J61" i="10"/>
  <c r="E71" i="9"/>
  <c r="D71" i="9"/>
  <c r="F72" i="9" s="1"/>
  <c r="I72" i="9" s="1"/>
  <c r="K71" i="9"/>
  <c r="J71" i="9"/>
  <c r="L71" i="9" s="1"/>
  <c r="G61" i="8"/>
  <c r="F61" i="8"/>
  <c r="H61" i="8" s="1"/>
  <c r="E62" i="8"/>
  <c r="C63" i="8"/>
  <c r="E58" i="7"/>
  <c r="D58" i="7"/>
  <c r="J93" i="11" l="1"/>
  <c r="I93" i="11"/>
  <c r="K93" i="11" s="1"/>
  <c r="I92" i="11"/>
  <c r="K92" i="11" s="1"/>
  <c r="J92" i="11"/>
  <c r="D93" i="11"/>
  <c r="E94" i="11" s="1"/>
  <c r="H94" i="11" s="1"/>
  <c r="C94" i="11"/>
  <c r="E92" i="10"/>
  <c r="D91" i="10"/>
  <c r="C92" i="10" s="1"/>
  <c r="E91" i="10"/>
  <c r="I62" i="10"/>
  <c r="K62" i="10" s="1"/>
  <c r="J62" i="10"/>
  <c r="H63" i="10"/>
  <c r="K72" i="9"/>
  <c r="J72" i="9"/>
  <c r="L72" i="9" s="1"/>
  <c r="C72" i="9"/>
  <c r="C64" i="8"/>
  <c r="E63" i="8"/>
  <c r="G62" i="8"/>
  <c r="F62" i="8"/>
  <c r="H62" i="8" s="1"/>
  <c r="F59" i="7"/>
  <c r="I59" i="7" s="1"/>
  <c r="C59" i="7"/>
  <c r="I94" i="11" l="1"/>
  <c r="K94" i="11" s="1"/>
  <c r="J94" i="11"/>
  <c r="D94" i="11"/>
  <c r="E95" i="11" s="1"/>
  <c r="H95" i="11" s="1"/>
  <c r="C95" i="11"/>
  <c r="D92" i="10"/>
  <c r="E93" i="10" s="1"/>
  <c r="C93" i="10"/>
  <c r="H64" i="10"/>
  <c r="J63" i="10"/>
  <c r="I63" i="10"/>
  <c r="K63" i="10" s="1"/>
  <c r="D72" i="9"/>
  <c r="F73" i="9" s="1"/>
  <c r="I73" i="9" s="1"/>
  <c r="E72" i="9"/>
  <c r="G63" i="8"/>
  <c r="F63" i="8"/>
  <c r="H63" i="8" s="1"/>
  <c r="E64" i="8"/>
  <c r="C65" i="8"/>
  <c r="E59" i="7"/>
  <c r="D59" i="7"/>
  <c r="K59" i="7"/>
  <c r="J59" i="7"/>
  <c r="L59" i="7" s="1"/>
  <c r="I95" i="11" l="1"/>
  <c r="K95" i="11" s="1"/>
  <c r="J95" i="11"/>
  <c r="D95" i="11"/>
  <c r="C96" i="11" s="1"/>
  <c r="D93" i="10"/>
  <c r="E94" i="10" s="1"/>
  <c r="C94" i="10"/>
  <c r="I64" i="10"/>
  <c r="K64" i="10" s="1"/>
  <c r="J64" i="10"/>
  <c r="H65" i="10"/>
  <c r="K73" i="9"/>
  <c r="J73" i="9"/>
  <c r="L73" i="9" s="1"/>
  <c r="C73" i="9"/>
  <c r="E65" i="8"/>
  <c r="C66" i="8"/>
  <c r="G64" i="8"/>
  <c r="F64" i="8"/>
  <c r="H64" i="8" s="1"/>
  <c r="F60" i="7"/>
  <c r="I60" i="7" s="1"/>
  <c r="C60" i="7"/>
  <c r="E96" i="11" l="1"/>
  <c r="H96" i="11" s="1"/>
  <c r="J96" i="11" s="1"/>
  <c r="D96" i="11"/>
  <c r="E97" i="11" s="1"/>
  <c r="H97" i="11" s="1"/>
  <c r="D94" i="10"/>
  <c r="E95" i="10" s="1"/>
  <c r="C95" i="10"/>
  <c r="J65" i="10"/>
  <c r="I65" i="10"/>
  <c r="K65" i="10" s="1"/>
  <c r="H66" i="10"/>
  <c r="E73" i="9"/>
  <c r="D73" i="9"/>
  <c r="F74" i="9" s="1"/>
  <c r="I74" i="9" s="1"/>
  <c r="C74" i="9"/>
  <c r="C67" i="8"/>
  <c r="E66" i="8"/>
  <c r="G65" i="8"/>
  <c r="F65" i="8"/>
  <c r="H65" i="8" s="1"/>
  <c r="D60" i="7"/>
  <c r="E60" i="7"/>
  <c r="K60" i="7"/>
  <c r="J60" i="7"/>
  <c r="L60" i="7" s="1"/>
  <c r="I96" i="11" l="1"/>
  <c r="K96" i="11" s="1"/>
  <c r="C97" i="11"/>
  <c r="J97" i="11"/>
  <c r="J102" i="11" s="1"/>
  <c r="J104" i="11" s="1"/>
  <c r="I97" i="11"/>
  <c r="D97" i="11"/>
  <c r="F106" i="11" s="1"/>
  <c r="E96" i="10"/>
  <c r="D95" i="10"/>
  <c r="C96" i="10"/>
  <c r="H67" i="10"/>
  <c r="J66" i="10"/>
  <c r="I66" i="10"/>
  <c r="K66" i="10" s="1"/>
  <c r="D74" i="9"/>
  <c r="F75" i="9" s="1"/>
  <c r="I75" i="9" s="1"/>
  <c r="E74" i="9"/>
  <c r="C75" i="9"/>
  <c r="K74" i="9"/>
  <c r="J74" i="9"/>
  <c r="L74" i="9" s="1"/>
  <c r="G66" i="8"/>
  <c r="F66" i="8"/>
  <c r="H66" i="8" s="1"/>
  <c r="E67" i="8"/>
  <c r="C68" i="8"/>
  <c r="F61" i="7"/>
  <c r="I61" i="7" s="1"/>
  <c r="C61" i="7"/>
  <c r="F98" i="11" l="1"/>
  <c r="F103" i="11"/>
  <c r="F107" i="11"/>
  <c r="F100" i="11"/>
  <c r="F108" i="11"/>
  <c r="F101" i="11"/>
  <c r="F102" i="11"/>
  <c r="F99" i="11"/>
  <c r="F109" i="11"/>
  <c r="F104" i="11"/>
  <c r="K97" i="11"/>
  <c r="K102" i="11" s="1"/>
  <c r="I102" i="11"/>
  <c r="F105" i="11"/>
  <c r="D96" i="10"/>
  <c r="C97" i="10" s="1"/>
  <c r="H68" i="10"/>
  <c r="J67" i="10"/>
  <c r="I67" i="10"/>
  <c r="K67" i="10" s="1"/>
  <c r="K75" i="9"/>
  <c r="J75" i="9"/>
  <c r="L75" i="9" s="1"/>
  <c r="E75" i="9"/>
  <c r="D75" i="9"/>
  <c r="F76" i="9" s="1"/>
  <c r="I76" i="9" s="1"/>
  <c r="C69" i="8"/>
  <c r="E68" i="8"/>
  <c r="F67" i="8"/>
  <c r="H67" i="8" s="1"/>
  <c r="G67" i="8"/>
  <c r="E61" i="7"/>
  <c r="D61" i="7"/>
  <c r="J61" i="7"/>
  <c r="L61" i="7" s="1"/>
  <c r="K61" i="7"/>
  <c r="D97" i="10" l="1"/>
  <c r="E97" i="10"/>
  <c r="I68" i="10"/>
  <c r="K68" i="10" s="1"/>
  <c r="J68" i="10"/>
  <c r="H69" i="10"/>
  <c r="C76" i="9"/>
  <c r="K76" i="9"/>
  <c r="J76" i="9"/>
  <c r="L76" i="9" s="1"/>
  <c r="D76" i="9"/>
  <c r="F77" i="9" s="1"/>
  <c r="I77" i="9" s="1"/>
  <c r="E76" i="9"/>
  <c r="C77" i="9"/>
  <c r="G68" i="8"/>
  <c r="F68" i="8"/>
  <c r="H68" i="8" s="1"/>
  <c r="C70" i="8"/>
  <c r="E69" i="8"/>
  <c r="F62" i="7"/>
  <c r="I62" i="7" s="1"/>
  <c r="C62" i="7"/>
  <c r="H70" i="10" l="1"/>
  <c r="J69" i="10"/>
  <c r="I69" i="10"/>
  <c r="K69" i="10" s="1"/>
  <c r="K77" i="9"/>
  <c r="J77" i="9"/>
  <c r="L77" i="9" s="1"/>
  <c r="E77" i="9"/>
  <c r="D77" i="9"/>
  <c r="F78" i="9" s="1"/>
  <c r="I78" i="9" s="1"/>
  <c r="C78" i="9"/>
  <c r="G69" i="8"/>
  <c r="F69" i="8"/>
  <c r="H69" i="8" s="1"/>
  <c r="E70" i="8"/>
  <c r="C71" i="8"/>
  <c r="K62" i="7"/>
  <c r="J62" i="7"/>
  <c r="L62" i="7" s="1"/>
  <c r="E62" i="7"/>
  <c r="D62" i="7"/>
  <c r="F63" i="7" s="1"/>
  <c r="I63" i="7" s="1"/>
  <c r="J63" i="7" s="1"/>
  <c r="L63" i="7" s="1"/>
  <c r="J70" i="10" l="1"/>
  <c r="I70" i="10"/>
  <c r="K70" i="10" s="1"/>
  <c r="H71" i="10"/>
  <c r="K78" i="9"/>
  <c r="J78" i="9"/>
  <c r="L78" i="9" s="1"/>
  <c r="E78" i="9"/>
  <c r="D78" i="9"/>
  <c r="F79" i="9" s="1"/>
  <c r="I79" i="9" s="1"/>
  <c r="C79" i="9"/>
  <c r="C72" i="8"/>
  <c r="E71" i="8"/>
  <c r="G70" i="8"/>
  <c r="F70" i="8"/>
  <c r="H70" i="8" s="1"/>
  <c r="K63" i="7"/>
  <c r="C63" i="7"/>
  <c r="I71" i="10" l="1"/>
  <c r="K71" i="10" s="1"/>
  <c r="J71" i="10"/>
  <c r="H72" i="10"/>
  <c r="K79" i="9"/>
  <c r="J79" i="9"/>
  <c r="L79" i="9" s="1"/>
  <c r="E79" i="9"/>
  <c r="D79" i="9"/>
  <c r="F80" i="9" s="1"/>
  <c r="I80" i="9" s="1"/>
  <c r="G71" i="8"/>
  <c r="F71" i="8"/>
  <c r="H71" i="8" s="1"/>
  <c r="E72" i="8"/>
  <c r="C73" i="8"/>
  <c r="E63" i="7"/>
  <c r="D63" i="7"/>
  <c r="H73" i="10" l="1"/>
  <c r="I72" i="10"/>
  <c r="K72" i="10" s="1"/>
  <c r="J72" i="10"/>
  <c r="K80" i="9"/>
  <c r="J80" i="9"/>
  <c r="L80" i="9" s="1"/>
  <c r="C80" i="9"/>
  <c r="E73" i="8"/>
  <c r="C74" i="8"/>
  <c r="G72" i="8"/>
  <c r="F72" i="8"/>
  <c r="H72" i="8" s="1"/>
  <c r="F64" i="7"/>
  <c r="I64" i="7" s="1"/>
  <c r="C64" i="7"/>
  <c r="J73" i="10" l="1"/>
  <c r="I73" i="10"/>
  <c r="K73" i="10" s="1"/>
  <c r="H74" i="10"/>
  <c r="D80" i="9"/>
  <c r="F81" i="9" s="1"/>
  <c r="I81" i="9" s="1"/>
  <c r="E80" i="9"/>
  <c r="C75" i="8"/>
  <c r="E74" i="8"/>
  <c r="G73" i="8"/>
  <c r="F73" i="8"/>
  <c r="H73" i="8" s="1"/>
  <c r="E64" i="7"/>
  <c r="D64" i="7"/>
  <c r="F65" i="7" s="1"/>
  <c r="I65" i="7" s="1"/>
  <c r="K64" i="7"/>
  <c r="J64" i="7"/>
  <c r="L64" i="7" s="1"/>
  <c r="H75" i="10" l="1"/>
  <c r="I74" i="10"/>
  <c r="K74" i="10" s="1"/>
  <c r="J74" i="10"/>
  <c r="C81" i="9"/>
  <c r="K81" i="9"/>
  <c r="J81" i="9"/>
  <c r="L81" i="9" s="1"/>
  <c r="E81" i="9"/>
  <c r="D81" i="9"/>
  <c r="F82" i="9" s="1"/>
  <c r="I82" i="9" s="1"/>
  <c r="C82" i="9"/>
  <c r="G74" i="8"/>
  <c r="F74" i="8"/>
  <c r="H74" i="8" s="1"/>
  <c r="E75" i="8"/>
  <c r="C76" i="8"/>
  <c r="C65" i="7"/>
  <c r="E65" i="7" s="1"/>
  <c r="K65" i="7"/>
  <c r="J65" i="7"/>
  <c r="L65" i="7" s="1"/>
  <c r="H76" i="10" l="1"/>
  <c r="I75" i="10"/>
  <c r="K75" i="10" s="1"/>
  <c r="J75" i="10"/>
  <c r="K82" i="9"/>
  <c r="J82" i="9"/>
  <c r="L82" i="9" s="1"/>
  <c r="D82" i="9"/>
  <c r="E82" i="9"/>
  <c r="F83" i="9"/>
  <c r="I83" i="9" s="1"/>
  <c r="C83" i="9"/>
  <c r="C77" i="8"/>
  <c r="E76" i="8"/>
  <c r="F75" i="8"/>
  <c r="H75" i="8" s="1"/>
  <c r="G75" i="8"/>
  <c r="D65" i="7"/>
  <c r="F66" i="7" s="1"/>
  <c r="I66" i="7" s="1"/>
  <c r="J66" i="7" s="1"/>
  <c r="L66" i="7" s="1"/>
  <c r="H77" i="10" l="1"/>
  <c r="I76" i="10"/>
  <c r="K76" i="10" s="1"/>
  <c r="J76" i="10"/>
  <c r="E83" i="9"/>
  <c r="D83" i="9"/>
  <c r="F84" i="9" s="1"/>
  <c r="I84" i="9" s="1"/>
  <c r="K83" i="9"/>
  <c r="J83" i="9"/>
  <c r="L83" i="9" s="1"/>
  <c r="G76" i="8"/>
  <c r="F76" i="8"/>
  <c r="H76" i="8" s="1"/>
  <c r="C78" i="8"/>
  <c r="E77" i="8"/>
  <c r="K66" i="7"/>
  <c r="C66" i="7"/>
  <c r="H78" i="10" l="1"/>
  <c r="J77" i="10"/>
  <c r="I77" i="10"/>
  <c r="K77" i="10" s="1"/>
  <c r="C84" i="9"/>
  <c r="K84" i="9"/>
  <c r="J84" i="9"/>
  <c r="L84" i="9" s="1"/>
  <c r="E84" i="9"/>
  <c r="D84" i="9"/>
  <c r="F85" i="9" s="1"/>
  <c r="I85" i="9" s="1"/>
  <c r="C85" i="9"/>
  <c r="G77" i="8"/>
  <c r="F77" i="8"/>
  <c r="H77" i="8" s="1"/>
  <c r="E78" i="8"/>
  <c r="C79" i="8"/>
  <c r="D66" i="7"/>
  <c r="E66" i="7"/>
  <c r="I78" i="10" l="1"/>
  <c r="K78" i="10" s="1"/>
  <c r="J78" i="10"/>
  <c r="H79" i="10"/>
  <c r="E85" i="9"/>
  <c r="D85" i="9"/>
  <c r="F86" i="9" s="1"/>
  <c r="I86" i="9" s="1"/>
  <c r="K85" i="9"/>
  <c r="J85" i="9"/>
  <c r="L85" i="9" s="1"/>
  <c r="C80" i="8"/>
  <c r="E79" i="8"/>
  <c r="G78" i="8"/>
  <c r="F78" i="8"/>
  <c r="H78" i="8" s="1"/>
  <c r="F67" i="7"/>
  <c r="I67" i="7" s="1"/>
  <c r="C67" i="7"/>
  <c r="I79" i="10" l="1"/>
  <c r="K79" i="10" s="1"/>
  <c r="J79" i="10"/>
  <c r="H80" i="10"/>
  <c r="C86" i="9"/>
  <c r="K86" i="9"/>
  <c r="J86" i="9"/>
  <c r="L86" i="9" s="1"/>
  <c r="D86" i="9"/>
  <c r="F87" i="9" s="1"/>
  <c r="I87" i="9" s="1"/>
  <c r="E86" i="9"/>
  <c r="C87" i="9"/>
  <c r="G79" i="8"/>
  <c r="F79" i="8"/>
  <c r="H79" i="8" s="1"/>
  <c r="E80" i="8"/>
  <c r="C81" i="8"/>
  <c r="E67" i="7"/>
  <c r="D67" i="7"/>
  <c r="F68" i="7" s="1"/>
  <c r="I68" i="7" s="1"/>
  <c r="J67" i="7"/>
  <c r="L67" i="7" s="1"/>
  <c r="K67" i="7"/>
  <c r="H81" i="10" l="1"/>
  <c r="I80" i="10"/>
  <c r="K80" i="10" s="1"/>
  <c r="J80" i="10"/>
  <c r="K87" i="9"/>
  <c r="J87" i="9"/>
  <c r="L87" i="9" s="1"/>
  <c r="D87" i="9"/>
  <c r="C88" i="9" s="1"/>
  <c r="E87" i="9"/>
  <c r="E81" i="8"/>
  <c r="C82" i="8"/>
  <c r="G80" i="8"/>
  <c r="F80" i="8"/>
  <c r="H80" i="8" s="1"/>
  <c r="C68" i="7"/>
  <c r="D68" i="7" s="1"/>
  <c r="K68" i="7"/>
  <c r="J68" i="7"/>
  <c r="L68" i="7" s="1"/>
  <c r="J81" i="10" l="1"/>
  <c r="I81" i="10"/>
  <c r="K81" i="10" s="1"/>
  <c r="H82" i="10"/>
  <c r="F88" i="9"/>
  <c r="I88" i="9" s="1"/>
  <c r="D88" i="9"/>
  <c r="F89" i="9" s="1"/>
  <c r="I89" i="9" s="1"/>
  <c r="E88" i="9"/>
  <c r="K88" i="9"/>
  <c r="J88" i="9"/>
  <c r="L88" i="9" s="1"/>
  <c r="C83" i="8"/>
  <c r="E82" i="8"/>
  <c r="G81" i="8"/>
  <c r="F81" i="8"/>
  <c r="H81" i="8" s="1"/>
  <c r="E68" i="7"/>
  <c r="F69" i="7"/>
  <c r="I69" i="7" s="1"/>
  <c r="K69" i="7" s="1"/>
  <c r="C69" i="7"/>
  <c r="H83" i="10" l="1"/>
  <c r="I82" i="10"/>
  <c r="K82" i="10" s="1"/>
  <c r="J82" i="10"/>
  <c r="C89" i="9"/>
  <c r="K89" i="9"/>
  <c r="J89" i="9"/>
  <c r="L89" i="9" s="1"/>
  <c r="D89" i="9"/>
  <c r="F90" i="9" s="1"/>
  <c r="I90" i="9" s="1"/>
  <c r="E89" i="9"/>
  <c r="G82" i="8"/>
  <c r="F82" i="8"/>
  <c r="H82" i="8" s="1"/>
  <c r="E83" i="8"/>
  <c r="C84" i="8"/>
  <c r="J69" i="7"/>
  <c r="L69" i="7" s="1"/>
  <c r="D69" i="7"/>
  <c r="E69" i="7"/>
  <c r="H84" i="10" l="1"/>
  <c r="J83" i="10"/>
  <c r="I83" i="10"/>
  <c r="K83" i="10" s="1"/>
  <c r="C90" i="9"/>
  <c r="D90" i="9"/>
  <c r="F91" i="9" s="1"/>
  <c r="I91" i="9" s="1"/>
  <c r="E90" i="9"/>
  <c r="C91" i="9"/>
  <c r="K90" i="9"/>
  <c r="J90" i="9"/>
  <c r="L90" i="9" s="1"/>
  <c r="C85" i="8"/>
  <c r="E84" i="8"/>
  <c r="F83" i="8"/>
  <c r="H83" i="8" s="1"/>
  <c r="G83" i="8"/>
  <c r="F70" i="7"/>
  <c r="I70" i="7" s="1"/>
  <c r="C70" i="7"/>
  <c r="I84" i="10" l="1"/>
  <c r="K84" i="10" s="1"/>
  <c r="J84" i="10"/>
  <c r="H85" i="10"/>
  <c r="K91" i="9"/>
  <c r="J91" i="9"/>
  <c r="L91" i="9" s="1"/>
  <c r="D91" i="9"/>
  <c r="F92" i="9" s="1"/>
  <c r="I92" i="9" s="1"/>
  <c r="E91" i="9"/>
  <c r="C92" i="9"/>
  <c r="G84" i="8"/>
  <c r="F84" i="8"/>
  <c r="H84" i="8" s="1"/>
  <c r="C86" i="8"/>
  <c r="E85" i="8"/>
  <c r="E70" i="7"/>
  <c r="D70" i="7"/>
  <c r="F71" i="7" s="1"/>
  <c r="I71" i="7" s="1"/>
  <c r="K70" i="7"/>
  <c r="J70" i="7"/>
  <c r="L70" i="7" s="1"/>
  <c r="C3" i="5"/>
  <c r="E3" i="5" s="1"/>
  <c r="J85" i="10" l="1"/>
  <c r="I85" i="10"/>
  <c r="K85" i="10" s="1"/>
  <c r="H86" i="10"/>
  <c r="D92" i="9"/>
  <c r="F93" i="9" s="1"/>
  <c r="I93" i="9" s="1"/>
  <c r="E92" i="9"/>
  <c r="K92" i="9"/>
  <c r="J92" i="9"/>
  <c r="L92" i="9" s="1"/>
  <c r="G85" i="8"/>
  <c r="F85" i="8"/>
  <c r="H85" i="8" s="1"/>
  <c r="E86" i="8"/>
  <c r="C87" i="8"/>
  <c r="F3" i="5"/>
  <c r="H3" i="5" s="1"/>
  <c r="G3" i="5"/>
  <c r="E2" i="5"/>
  <c r="K71" i="7"/>
  <c r="J71" i="7"/>
  <c r="L71" i="7" s="1"/>
  <c r="C71" i="7"/>
  <c r="C4" i="5"/>
  <c r="C5" i="5" s="1"/>
  <c r="I86" i="10" l="1"/>
  <c r="K86" i="10" s="1"/>
  <c r="J86" i="10"/>
  <c r="H87" i="10"/>
  <c r="K93" i="9"/>
  <c r="J93" i="9"/>
  <c r="L93" i="9" s="1"/>
  <c r="C93" i="9"/>
  <c r="C88" i="8"/>
  <c r="E87" i="8"/>
  <c r="G86" i="8"/>
  <c r="F86" i="8"/>
  <c r="H86" i="8" s="1"/>
  <c r="G2" i="5"/>
  <c r="F2" i="5"/>
  <c r="H2" i="5" s="1"/>
  <c r="E71" i="7"/>
  <c r="D71" i="7"/>
  <c r="E4" i="5"/>
  <c r="G4" i="5" s="1"/>
  <c r="C6" i="5"/>
  <c r="E5" i="5"/>
  <c r="H88" i="10" l="1"/>
  <c r="I87" i="10"/>
  <c r="K87" i="10" s="1"/>
  <c r="J87" i="10"/>
  <c r="D93" i="9"/>
  <c r="E93" i="9"/>
  <c r="F94" i="9"/>
  <c r="I94" i="9" s="1"/>
  <c r="C94" i="9"/>
  <c r="G87" i="8"/>
  <c r="F87" i="8"/>
  <c r="H87" i="8" s="1"/>
  <c r="E88" i="8"/>
  <c r="C89" i="8"/>
  <c r="F72" i="7"/>
  <c r="I72" i="7" s="1"/>
  <c r="C72" i="7"/>
  <c r="F4" i="5"/>
  <c r="H4" i="5" s="1"/>
  <c r="F5" i="5"/>
  <c r="H5" i="5" s="1"/>
  <c r="G5" i="5"/>
  <c r="C7" i="5"/>
  <c r="E6" i="5"/>
  <c r="H89" i="10" l="1"/>
  <c r="J88" i="10"/>
  <c r="I88" i="10"/>
  <c r="K88" i="10" s="1"/>
  <c r="D94" i="9"/>
  <c r="F95" i="9" s="1"/>
  <c r="I95" i="9" s="1"/>
  <c r="E94" i="9"/>
  <c r="C95" i="9"/>
  <c r="K94" i="9"/>
  <c r="J94" i="9"/>
  <c r="L94" i="9" s="1"/>
  <c r="E89" i="8"/>
  <c r="C90" i="8"/>
  <c r="G88" i="8"/>
  <c r="F88" i="8"/>
  <c r="H88" i="8" s="1"/>
  <c r="D72" i="7"/>
  <c r="C73" i="7" s="1"/>
  <c r="E72" i="7"/>
  <c r="J72" i="7"/>
  <c r="L72" i="7" s="1"/>
  <c r="K72" i="7"/>
  <c r="G6" i="5"/>
  <c r="F6" i="5"/>
  <c r="C8" i="5"/>
  <c r="E7" i="5"/>
  <c r="J89" i="10" l="1"/>
  <c r="I89" i="10"/>
  <c r="K89" i="10" s="1"/>
  <c r="H90" i="10"/>
  <c r="K95" i="9"/>
  <c r="J95" i="9"/>
  <c r="L95" i="9" s="1"/>
  <c r="E95" i="9"/>
  <c r="D95" i="9"/>
  <c r="F96" i="9"/>
  <c r="I96" i="9" s="1"/>
  <c r="C96" i="9"/>
  <c r="C91" i="8"/>
  <c r="E90" i="8"/>
  <c r="G89" i="8"/>
  <c r="F89" i="8"/>
  <c r="H89" i="8" s="1"/>
  <c r="F73" i="7"/>
  <c r="I73" i="7" s="1"/>
  <c r="E73" i="7"/>
  <c r="D73" i="7"/>
  <c r="F74" i="7" s="1"/>
  <c r="I74" i="7" s="1"/>
  <c r="C74" i="7"/>
  <c r="F7" i="5"/>
  <c r="H7" i="5" s="1"/>
  <c r="G7" i="5"/>
  <c r="C9" i="5"/>
  <c r="E8" i="5"/>
  <c r="H6" i="5"/>
  <c r="H91" i="10" l="1"/>
  <c r="I90" i="10"/>
  <c r="K90" i="10" s="1"/>
  <c r="J90" i="10"/>
  <c r="D96" i="9"/>
  <c r="I97" i="9" s="1"/>
  <c r="E96" i="9"/>
  <c r="C97" i="9"/>
  <c r="K96" i="9"/>
  <c r="J96" i="9"/>
  <c r="L96" i="9" s="1"/>
  <c r="G90" i="8"/>
  <c r="F90" i="8"/>
  <c r="H90" i="8" s="1"/>
  <c r="E91" i="8"/>
  <c r="C92" i="8"/>
  <c r="D74" i="7"/>
  <c r="E74" i="7"/>
  <c r="K74" i="7"/>
  <c r="J74" i="7"/>
  <c r="L74" i="7" s="1"/>
  <c r="K73" i="7"/>
  <c r="J73" i="7"/>
  <c r="L73" i="7" s="1"/>
  <c r="C10" i="5"/>
  <c r="E9" i="5"/>
  <c r="G8" i="5"/>
  <c r="F8" i="5"/>
  <c r="H92" i="10" l="1"/>
  <c r="I91" i="10"/>
  <c r="K91" i="10" s="1"/>
  <c r="J91" i="10"/>
  <c r="K97" i="9"/>
  <c r="K101" i="9" s="1"/>
  <c r="K104" i="9" s="1"/>
  <c r="J97" i="9"/>
  <c r="D97" i="9"/>
  <c r="E97" i="9"/>
  <c r="C93" i="8"/>
  <c r="E92" i="8"/>
  <c r="F91" i="8"/>
  <c r="H91" i="8" s="1"/>
  <c r="G91" i="8"/>
  <c r="F75" i="7"/>
  <c r="I75" i="7" s="1"/>
  <c r="C75" i="7"/>
  <c r="F9" i="5"/>
  <c r="H9" i="5" s="1"/>
  <c r="G9" i="5"/>
  <c r="C11" i="5"/>
  <c r="E10" i="5"/>
  <c r="H8" i="5"/>
  <c r="I92" i="10" l="1"/>
  <c r="K92" i="10" s="1"/>
  <c r="J92" i="10"/>
  <c r="H93" i="10"/>
  <c r="L97" i="9"/>
  <c r="L101" i="9" s="1"/>
  <c r="J101" i="9"/>
  <c r="G92" i="8"/>
  <c r="F92" i="8"/>
  <c r="H92" i="8" s="1"/>
  <c r="C94" i="8"/>
  <c r="E93" i="8"/>
  <c r="D75" i="7"/>
  <c r="C76" i="7" s="1"/>
  <c r="E75" i="7"/>
  <c r="J75" i="7"/>
  <c r="L75" i="7" s="1"/>
  <c r="K75" i="7"/>
  <c r="C12" i="5"/>
  <c r="E11" i="5"/>
  <c r="G10" i="5"/>
  <c r="F10" i="5"/>
  <c r="H94" i="10" l="1"/>
  <c r="J93" i="10"/>
  <c r="I93" i="10"/>
  <c r="K93" i="10" s="1"/>
  <c r="G93" i="8"/>
  <c r="F93" i="8"/>
  <c r="H93" i="8" s="1"/>
  <c r="E94" i="8"/>
  <c r="C95" i="8"/>
  <c r="F76" i="7"/>
  <c r="I76" i="7" s="1"/>
  <c r="K76" i="7" s="1"/>
  <c r="D76" i="7"/>
  <c r="E76" i="7"/>
  <c r="H10" i="5"/>
  <c r="G11" i="5"/>
  <c r="F11" i="5"/>
  <c r="H11" i="5" s="1"/>
  <c r="C13" i="5"/>
  <c r="E12" i="5"/>
  <c r="H95" i="10" l="1"/>
  <c r="I94" i="10"/>
  <c r="K94" i="10" s="1"/>
  <c r="J94" i="10"/>
  <c r="C96" i="8"/>
  <c r="E95" i="8"/>
  <c r="G94" i="8"/>
  <c r="F94" i="8"/>
  <c r="H94" i="8" s="1"/>
  <c r="J76" i="7"/>
  <c r="L76" i="7" s="1"/>
  <c r="F77" i="7"/>
  <c r="I77" i="7" s="1"/>
  <c r="C77" i="7"/>
  <c r="G12" i="5"/>
  <c r="F12" i="5"/>
  <c r="H12" i="5" s="1"/>
  <c r="C14" i="5"/>
  <c r="E13" i="5"/>
  <c r="H96" i="10" l="1"/>
  <c r="I95" i="10"/>
  <c r="K95" i="10" s="1"/>
  <c r="J95" i="10"/>
  <c r="G95" i="8"/>
  <c r="F95" i="8"/>
  <c r="H95" i="8" s="1"/>
  <c r="E96" i="8"/>
  <c r="E77" i="7"/>
  <c r="D77" i="7"/>
  <c r="K77" i="7"/>
  <c r="J77" i="7"/>
  <c r="L77" i="7" s="1"/>
  <c r="F13" i="5"/>
  <c r="H13" i="5" s="1"/>
  <c r="G13" i="5"/>
  <c r="C15" i="5"/>
  <c r="E14" i="5"/>
  <c r="H97" i="10" l="1"/>
  <c r="J96" i="10"/>
  <c r="I96" i="10"/>
  <c r="K96" i="10" s="1"/>
  <c r="G96" i="8"/>
  <c r="F96" i="8"/>
  <c r="H96" i="8" s="1"/>
  <c r="F78" i="7"/>
  <c r="I78" i="7" s="1"/>
  <c r="C78" i="7"/>
  <c r="G14" i="5"/>
  <c r="F14" i="5"/>
  <c r="H14" i="5" s="1"/>
  <c r="C16" i="5"/>
  <c r="E15" i="5"/>
  <c r="I97" i="10" l="1"/>
  <c r="J97" i="10"/>
  <c r="J104" i="10" s="1"/>
  <c r="E78" i="7"/>
  <c r="D78" i="7"/>
  <c r="K78" i="7"/>
  <c r="J78" i="7"/>
  <c r="L78" i="7" s="1"/>
  <c r="G15" i="5"/>
  <c r="F15" i="5"/>
  <c r="H15" i="5" s="1"/>
  <c r="C17" i="5"/>
  <c r="E16" i="5"/>
  <c r="K97" i="10" l="1"/>
  <c r="C79" i="7"/>
  <c r="F79" i="7"/>
  <c r="I79" i="7" s="1"/>
  <c r="G16" i="5"/>
  <c r="F16" i="5"/>
  <c r="H16" i="5" s="1"/>
  <c r="C18" i="5"/>
  <c r="E17" i="5"/>
  <c r="J79" i="7" l="1"/>
  <c r="L79" i="7" s="1"/>
  <c r="K79" i="7"/>
  <c r="E79" i="7"/>
  <c r="D79" i="7"/>
  <c r="F80" i="7" s="1"/>
  <c r="I80" i="7" s="1"/>
  <c r="F17" i="5"/>
  <c r="H17" i="5" s="1"/>
  <c r="G17" i="5"/>
  <c r="C19" i="5"/>
  <c r="E18" i="5"/>
  <c r="J80" i="7" l="1"/>
  <c r="L80" i="7" s="1"/>
  <c r="K80" i="7"/>
  <c r="C80" i="7"/>
  <c r="G18" i="5"/>
  <c r="F18" i="5"/>
  <c r="H18" i="5" s="1"/>
  <c r="C20" i="5"/>
  <c r="E19" i="5"/>
  <c r="E80" i="7" l="1"/>
  <c r="D80" i="7"/>
  <c r="C81" i="7" s="1"/>
  <c r="F19" i="5"/>
  <c r="H19" i="5" s="1"/>
  <c r="G19" i="5"/>
  <c r="C21" i="5"/>
  <c r="E20" i="5"/>
  <c r="F81" i="7" l="1"/>
  <c r="I81" i="7" s="1"/>
  <c r="K81" i="7" s="1"/>
  <c r="D81" i="7"/>
  <c r="F82" i="7" s="1"/>
  <c r="I82" i="7" s="1"/>
  <c r="E81" i="7"/>
  <c r="C82" i="7"/>
  <c r="G20" i="5"/>
  <c r="F20" i="5"/>
  <c r="H20" i="5" s="1"/>
  <c r="C22" i="5"/>
  <c r="E21" i="5"/>
  <c r="J81" i="7" l="1"/>
  <c r="L81" i="7" s="1"/>
  <c r="K82" i="7"/>
  <c r="J82" i="7"/>
  <c r="L82" i="7" s="1"/>
  <c r="D82" i="7"/>
  <c r="E82" i="7"/>
  <c r="F21" i="5"/>
  <c r="H21" i="5" s="1"/>
  <c r="G21" i="5"/>
  <c r="C23" i="5"/>
  <c r="E22" i="5"/>
  <c r="C83" i="7" l="1"/>
  <c r="F83" i="7"/>
  <c r="I83" i="7" s="1"/>
  <c r="G22" i="5"/>
  <c r="F22" i="5"/>
  <c r="H22" i="5" s="1"/>
  <c r="C24" i="5"/>
  <c r="E23" i="5"/>
  <c r="K83" i="7" l="1"/>
  <c r="J83" i="7"/>
  <c r="L83" i="7" s="1"/>
  <c r="E83" i="7"/>
  <c r="D83" i="7"/>
  <c r="F84" i="7" s="1"/>
  <c r="I84" i="7" s="1"/>
  <c r="F23" i="5"/>
  <c r="H23" i="5" s="1"/>
  <c r="G23" i="5"/>
  <c r="C25" i="5"/>
  <c r="E24" i="5"/>
  <c r="C84" i="7" l="1"/>
  <c r="E84" i="7"/>
  <c r="D84" i="7"/>
  <c r="C85" i="7" s="1"/>
  <c r="K84" i="7"/>
  <c r="J84" i="7"/>
  <c r="L84" i="7" s="1"/>
  <c r="G24" i="5"/>
  <c r="F24" i="5"/>
  <c r="H24" i="5" s="1"/>
  <c r="C26" i="5"/>
  <c r="E25" i="5"/>
  <c r="F85" i="7" l="1"/>
  <c r="I85" i="7" s="1"/>
  <c r="K85" i="7" s="1"/>
  <c r="D85" i="7"/>
  <c r="F86" i="7" s="1"/>
  <c r="I86" i="7" s="1"/>
  <c r="E85" i="7"/>
  <c r="F25" i="5"/>
  <c r="H25" i="5" s="1"/>
  <c r="G25" i="5"/>
  <c r="C27" i="5"/>
  <c r="E26" i="5"/>
  <c r="J85" i="7" l="1"/>
  <c r="L85" i="7" s="1"/>
  <c r="C86" i="7"/>
  <c r="D86" i="7" s="1"/>
  <c r="F87" i="7" s="1"/>
  <c r="I87" i="7" s="1"/>
  <c r="K86" i="7"/>
  <c r="J86" i="7"/>
  <c r="L86" i="7" s="1"/>
  <c r="G26" i="5"/>
  <c r="F26" i="5"/>
  <c r="H26" i="5" s="1"/>
  <c r="C28" i="5"/>
  <c r="E27" i="5"/>
  <c r="E86" i="7" l="1"/>
  <c r="C87" i="7"/>
  <c r="D87" i="7" s="1"/>
  <c r="K87" i="7"/>
  <c r="J87" i="7"/>
  <c r="L87" i="7" s="1"/>
  <c r="F27" i="5"/>
  <c r="H27" i="5" s="1"/>
  <c r="G27" i="5"/>
  <c r="C29" i="5"/>
  <c r="E28" i="5"/>
  <c r="E87" i="7" l="1"/>
  <c r="F88" i="7"/>
  <c r="I88" i="7" s="1"/>
  <c r="C88" i="7"/>
  <c r="G28" i="5"/>
  <c r="F28" i="5"/>
  <c r="H28" i="5" s="1"/>
  <c r="C30" i="5"/>
  <c r="E29" i="5"/>
  <c r="D88" i="7" l="1"/>
  <c r="F89" i="7" s="1"/>
  <c r="I89" i="7" s="1"/>
  <c r="E88" i="7"/>
  <c r="J88" i="7"/>
  <c r="L88" i="7" s="1"/>
  <c r="K88" i="7"/>
  <c r="G29" i="5"/>
  <c r="F29" i="5"/>
  <c r="H29" i="5" s="1"/>
  <c r="C31" i="5"/>
  <c r="E30" i="5"/>
  <c r="J89" i="7" l="1"/>
  <c r="L89" i="7" s="1"/>
  <c r="K89" i="7"/>
  <c r="C89" i="7"/>
  <c r="G30" i="5"/>
  <c r="F30" i="5"/>
  <c r="H30" i="5" s="1"/>
  <c r="C32" i="5"/>
  <c r="E31" i="5"/>
  <c r="D89" i="7" l="1"/>
  <c r="F90" i="7" s="1"/>
  <c r="I90" i="7" s="1"/>
  <c r="E89" i="7"/>
  <c r="F31" i="5"/>
  <c r="H31" i="5" s="1"/>
  <c r="G31" i="5"/>
  <c r="C33" i="5"/>
  <c r="E32" i="5"/>
  <c r="C90" i="7" l="1"/>
  <c r="J90" i="7"/>
  <c r="L90" i="7" s="1"/>
  <c r="K90" i="7"/>
  <c r="G32" i="5"/>
  <c r="F32" i="5"/>
  <c r="H32" i="5" s="1"/>
  <c r="C34" i="5"/>
  <c r="E33" i="5"/>
  <c r="E90" i="7" l="1"/>
  <c r="D90" i="7"/>
  <c r="C91" i="7" s="1"/>
  <c r="F33" i="5"/>
  <c r="H33" i="5" s="1"/>
  <c r="G33" i="5"/>
  <c r="C35" i="5"/>
  <c r="E34" i="5"/>
  <c r="F91" i="7" l="1"/>
  <c r="I91" i="7" s="1"/>
  <c r="K91" i="7" s="1"/>
  <c r="D91" i="7"/>
  <c r="F92" i="7" s="1"/>
  <c r="I92" i="7" s="1"/>
  <c r="E91" i="7"/>
  <c r="G34" i="5"/>
  <c r="F34" i="5"/>
  <c r="H34" i="5" s="1"/>
  <c r="C36" i="5"/>
  <c r="E35" i="5"/>
  <c r="J91" i="7" l="1"/>
  <c r="L91" i="7" s="1"/>
  <c r="C92" i="7"/>
  <c r="K92" i="7"/>
  <c r="J92" i="7"/>
  <c r="L92" i="7" s="1"/>
  <c r="E92" i="7"/>
  <c r="D92" i="7"/>
  <c r="F93" i="7"/>
  <c r="I93" i="7" s="1"/>
  <c r="C93" i="7"/>
  <c r="F35" i="5"/>
  <c r="H35" i="5" s="1"/>
  <c r="G35" i="5"/>
  <c r="C37" i="5"/>
  <c r="E36" i="5"/>
  <c r="D93" i="7" l="1"/>
  <c r="F94" i="7" s="1"/>
  <c r="I94" i="7" s="1"/>
  <c r="E93" i="7"/>
  <c r="J93" i="7"/>
  <c r="L93" i="7" s="1"/>
  <c r="K93" i="7"/>
  <c r="G36" i="5"/>
  <c r="F36" i="5"/>
  <c r="H36" i="5" s="1"/>
  <c r="C38" i="5"/>
  <c r="E37" i="5"/>
  <c r="K94" i="7" l="1"/>
  <c r="J94" i="7"/>
  <c r="L94" i="7" s="1"/>
  <c r="C94" i="7"/>
  <c r="F37" i="5"/>
  <c r="H37" i="5" s="1"/>
  <c r="G37" i="5"/>
  <c r="C39" i="5"/>
  <c r="E38" i="5"/>
  <c r="E94" i="7" l="1"/>
  <c r="D94" i="7"/>
  <c r="F95" i="7" s="1"/>
  <c r="I95" i="7" s="1"/>
  <c r="C95" i="7"/>
  <c r="G38" i="5"/>
  <c r="F38" i="5"/>
  <c r="H38" i="5" s="1"/>
  <c r="C40" i="5"/>
  <c r="E39" i="5"/>
  <c r="D95" i="7" l="1"/>
  <c r="E95" i="7"/>
  <c r="J95" i="7"/>
  <c r="L95" i="7" s="1"/>
  <c r="K95" i="7"/>
  <c r="F39" i="5"/>
  <c r="H39" i="5" s="1"/>
  <c r="G39" i="5"/>
  <c r="C41" i="5"/>
  <c r="E40" i="5"/>
  <c r="F96" i="7" l="1"/>
  <c r="I96" i="7" s="1"/>
  <c r="C96" i="7"/>
  <c r="G40" i="5"/>
  <c r="F40" i="5"/>
  <c r="H40" i="5" s="1"/>
  <c r="C42" i="5"/>
  <c r="E41" i="5"/>
  <c r="D96" i="7" l="1"/>
  <c r="F97" i="7" s="1"/>
  <c r="I97" i="7" s="1"/>
  <c r="E96" i="7"/>
  <c r="K96" i="7"/>
  <c r="J96" i="7"/>
  <c r="L96" i="7" s="1"/>
  <c r="G41" i="5"/>
  <c r="F41" i="5"/>
  <c r="H41" i="5" s="1"/>
  <c r="C43" i="5"/>
  <c r="E42" i="5"/>
  <c r="C97" i="7" l="1"/>
  <c r="E97" i="7" s="1"/>
  <c r="J97" i="7"/>
  <c r="K97" i="7"/>
  <c r="K101" i="7" s="1"/>
  <c r="K104" i="7" s="1"/>
  <c r="G42" i="5"/>
  <c r="F42" i="5"/>
  <c r="H42" i="5" s="1"/>
  <c r="C44" i="5"/>
  <c r="E43" i="5"/>
  <c r="D97" i="7" l="1"/>
  <c r="L97" i="7"/>
  <c r="L101" i="7" s="1"/>
  <c r="J101" i="7"/>
  <c r="G43" i="5"/>
  <c r="F43" i="5"/>
  <c r="H43" i="5" s="1"/>
  <c r="C45" i="5"/>
  <c r="E44" i="5"/>
  <c r="G44" i="5" l="1"/>
  <c r="F44" i="5"/>
  <c r="H44" i="5" s="1"/>
  <c r="C46" i="5"/>
  <c r="E45" i="5"/>
  <c r="F45" i="5" l="1"/>
  <c r="H45" i="5" s="1"/>
  <c r="G45" i="5"/>
  <c r="C47" i="5"/>
  <c r="E46" i="5"/>
  <c r="G46" i="5" l="1"/>
  <c r="F46" i="5"/>
  <c r="H46" i="5" s="1"/>
  <c r="C48" i="5"/>
  <c r="E47" i="5"/>
  <c r="F47" i="5" l="1"/>
  <c r="H47" i="5" s="1"/>
  <c r="G47" i="5"/>
  <c r="C49" i="5"/>
  <c r="E48" i="5"/>
  <c r="G48" i="5" l="1"/>
  <c r="F48" i="5"/>
  <c r="H48" i="5" s="1"/>
  <c r="C50" i="5"/>
  <c r="E49" i="5"/>
  <c r="G49" i="5" l="1"/>
  <c r="F49" i="5"/>
  <c r="H49" i="5" s="1"/>
  <c r="C51" i="5"/>
  <c r="E50" i="5"/>
  <c r="G50" i="5" l="1"/>
  <c r="F50" i="5"/>
  <c r="H50" i="5" s="1"/>
  <c r="C52" i="5"/>
  <c r="E51" i="5"/>
  <c r="F51" i="5" l="1"/>
  <c r="H51" i="5" s="1"/>
  <c r="G51" i="5"/>
  <c r="C53" i="5"/>
  <c r="E52" i="5"/>
  <c r="G52" i="5" l="1"/>
  <c r="F52" i="5"/>
  <c r="H52" i="5" s="1"/>
  <c r="C54" i="5"/>
  <c r="E53" i="5"/>
  <c r="G53" i="5" l="1"/>
  <c r="F53" i="5"/>
  <c r="H53" i="5" s="1"/>
  <c r="C55" i="5"/>
  <c r="E54" i="5"/>
  <c r="G54" i="5" l="1"/>
  <c r="F54" i="5"/>
  <c r="H54" i="5" s="1"/>
  <c r="C56" i="5"/>
  <c r="E55" i="5"/>
  <c r="G55" i="5" l="1"/>
  <c r="F55" i="5"/>
  <c r="H55" i="5" s="1"/>
  <c r="C57" i="5"/>
  <c r="E56" i="5"/>
  <c r="G56" i="5" l="1"/>
  <c r="F56" i="5"/>
  <c r="H56" i="5" s="1"/>
  <c r="C58" i="5"/>
  <c r="E57" i="5"/>
  <c r="F57" i="5" l="1"/>
  <c r="H57" i="5" s="1"/>
  <c r="G57" i="5"/>
  <c r="C59" i="5"/>
  <c r="E58" i="5"/>
  <c r="G58" i="5" l="1"/>
  <c r="F58" i="5"/>
  <c r="H58" i="5" s="1"/>
  <c r="C60" i="5"/>
  <c r="E59" i="5"/>
  <c r="G59" i="5" l="1"/>
  <c r="F59" i="5"/>
  <c r="H59" i="5" s="1"/>
  <c r="C61" i="5"/>
  <c r="E60" i="5"/>
  <c r="G60" i="5" l="1"/>
  <c r="F60" i="5"/>
  <c r="H60" i="5" s="1"/>
  <c r="C62" i="5"/>
  <c r="E61" i="5"/>
  <c r="G61" i="5" l="1"/>
  <c r="F61" i="5"/>
  <c r="H61" i="5" s="1"/>
  <c r="C63" i="5"/>
  <c r="E62" i="5"/>
  <c r="G62" i="5" l="1"/>
  <c r="F62" i="5"/>
  <c r="H62" i="5" s="1"/>
  <c r="C64" i="5"/>
  <c r="E63" i="5"/>
  <c r="G63" i="5" l="1"/>
  <c r="F63" i="5"/>
  <c r="H63" i="5" s="1"/>
  <c r="C65" i="5"/>
  <c r="E64" i="5"/>
  <c r="G64" i="5" l="1"/>
  <c r="F64" i="5"/>
  <c r="H64" i="5" s="1"/>
  <c r="C66" i="5"/>
  <c r="E65" i="5"/>
  <c r="G65" i="5" l="1"/>
  <c r="F65" i="5"/>
  <c r="H65" i="5" s="1"/>
  <c r="C67" i="5"/>
  <c r="E66" i="5"/>
  <c r="G66" i="5" l="1"/>
  <c r="F66" i="5"/>
  <c r="H66" i="5" s="1"/>
  <c r="C68" i="5"/>
  <c r="E67" i="5"/>
  <c r="F67" i="5" l="1"/>
  <c r="H67" i="5" s="1"/>
  <c r="G67" i="5"/>
  <c r="C69" i="5"/>
  <c r="E68" i="5"/>
  <c r="G68" i="5" l="1"/>
  <c r="F68" i="5"/>
  <c r="H68" i="5" s="1"/>
  <c r="C70" i="5"/>
  <c r="E69" i="5"/>
  <c r="F69" i="5" l="1"/>
  <c r="H69" i="5" s="1"/>
  <c r="G69" i="5"/>
  <c r="C71" i="5"/>
  <c r="E70" i="5"/>
  <c r="G70" i="5" l="1"/>
  <c r="F70" i="5"/>
  <c r="H70" i="5" s="1"/>
  <c r="C72" i="5"/>
  <c r="E71" i="5"/>
  <c r="F71" i="5" l="1"/>
  <c r="H71" i="5" s="1"/>
  <c r="G71" i="5"/>
  <c r="C73" i="5"/>
  <c r="E72" i="5"/>
  <c r="G72" i="5" l="1"/>
  <c r="F72" i="5"/>
  <c r="H72" i="5" s="1"/>
  <c r="C74" i="5"/>
  <c r="E73" i="5"/>
  <c r="F73" i="5" l="1"/>
  <c r="H73" i="5" s="1"/>
  <c r="G73" i="5"/>
  <c r="C75" i="5"/>
  <c r="E74" i="5"/>
  <c r="G74" i="5" l="1"/>
  <c r="F74" i="5"/>
  <c r="H74" i="5" s="1"/>
  <c r="C76" i="5"/>
  <c r="E75" i="5"/>
  <c r="F75" i="5" l="1"/>
  <c r="H75" i="5" s="1"/>
  <c r="G75" i="5"/>
  <c r="C77" i="5"/>
  <c r="E76" i="5"/>
  <c r="G76" i="5" l="1"/>
  <c r="F76" i="5"/>
  <c r="H76" i="5" s="1"/>
  <c r="C78" i="5"/>
  <c r="E77" i="5"/>
  <c r="F77" i="5" l="1"/>
  <c r="H77" i="5" s="1"/>
  <c r="G77" i="5"/>
  <c r="C79" i="5"/>
  <c r="E78" i="5"/>
  <c r="G78" i="5" l="1"/>
  <c r="F78" i="5"/>
  <c r="H78" i="5" s="1"/>
  <c r="C80" i="5"/>
  <c r="E79" i="5"/>
  <c r="F79" i="5" l="1"/>
  <c r="H79" i="5" s="1"/>
  <c r="G79" i="5"/>
  <c r="C81" i="5"/>
  <c r="E80" i="5"/>
  <c r="G80" i="5" l="1"/>
  <c r="F80" i="5"/>
  <c r="H80" i="5" s="1"/>
  <c r="C82" i="5"/>
  <c r="E81" i="5"/>
  <c r="G81" i="5" l="1"/>
  <c r="F81" i="5"/>
  <c r="H81" i="5" s="1"/>
  <c r="C83" i="5"/>
  <c r="E82" i="5"/>
  <c r="G82" i="5" l="1"/>
  <c r="F82" i="5"/>
  <c r="H82" i="5" s="1"/>
  <c r="C84" i="5"/>
  <c r="E83" i="5"/>
  <c r="F83" i="5" l="1"/>
  <c r="H83" i="5" s="1"/>
  <c r="G83" i="5"/>
  <c r="C85" i="5"/>
  <c r="E84" i="5"/>
  <c r="G84" i="5" l="1"/>
  <c r="F84" i="5"/>
  <c r="H84" i="5" s="1"/>
  <c r="C86" i="5"/>
  <c r="E85" i="5"/>
  <c r="G85" i="5" l="1"/>
  <c r="F85" i="5"/>
  <c r="H85" i="5" s="1"/>
  <c r="C87" i="5"/>
  <c r="E86" i="5"/>
  <c r="G86" i="5" l="1"/>
  <c r="F86" i="5"/>
  <c r="H86" i="5" s="1"/>
  <c r="C88" i="5"/>
  <c r="E87" i="5"/>
  <c r="F87" i="5" l="1"/>
  <c r="H87" i="5" s="1"/>
  <c r="G87" i="5"/>
  <c r="C89" i="5"/>
  <c r="E88" i="5"/>
  <c r="G88" i="5" l="1"/>
  <c r="F88" i="5"/>
  <c r="H88" i="5" s="1"/>
  <c r="C90" i="5"/>
  <c r="E89" i="5"/>
  <c r="F89" i="5" l="1"/>
  <c r="H89" i="5" s="1"/>
  <c r="G89" i="5"/>
  <c r="C91" i="5"/>
  <c r="E90" i="5"/>
  <c r="G90" i="5" l="1"/>
  <c r="F90" i="5"/>
  <c r="H90" i="5" s="1"/>
  <c r="C92" i="5"/>
  <c r="E91" i="5"/>
  <c r="G91" i="5" l="1"/>
  <c r="F91" i="5"/>
  <c r="H91" i="5" s="1"/>
  <c r="C93" i="5"/>
  <c r="E92" i="5"/>
  <c r="G92" i="5" l="1"/>
  <c r="F92" i="5"/>
  <c r="H92" i="5" s="1"/>
  <c r="C94" i="5"/>
  <c r="E93" i="5"/>
  <c r="F93" i="5" l="1"/>
  <c r="H93" i="5" s="1"/>
  <c r="G93" i="5"/>
  <c r="C95" i="5"/>
  <c r="E94" i="5"/>
  <c r="G94" i="5" l="1"/>
  <c r="F94" i="5"/>
  <c r="H94" i="5" s="1"/>
  <c r="C96" i="5"/>
  <c r="E95" i="5"/>
  <c r="F95" i="5" l="1"/>
  <c r="H95" i="5" s="1"/>
  <c r="G95" i="5"/>
  <c r="E96" i="5"/>
  <c r="C97" i="5"/>
  <c r="E97" i="5" l="1"/>
  <c r="G96" i="5"/>
  <c r="F96" i="5"/>
  <c r="H96" i="5" s="1"/>
  <c r="F97" i="5" l="1"/>
  <c r="G97" i="5"/>
  <c r="G102" i="5" l="1"/>
  <c r="H97" i="5"/>
  <c r="H102" i="5" s="1"/>
  <c r="F10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00000000-0006-0000-0100-000001000000}">
      <text>
        <r>
          <rPr>
            <sz val="8"/>
            <color indexed="81"/>
            <rFont val="Tahoma"/>
            <family val="2"/>
          </rPr>
          <t>Note: As of July 2009, all historical data have been revised as a result of changes to the survey design.</t>
        </r>
      </text>
    </comment>
    <comment ref="C1" authorId="0" shapeId="0" xr:uid="{00000000-0006-0000-0100-000002000000}">
      <text>
        <r>
          <rPr>
            <sz val="8"/>
            <color rgb="FF000000"/>
            <rFont val="Tahoma"/>
            <family val="2"/>
          </rPr>
          <t>Note: As of July 2009, all historical data have been revised as a result of changes to the survey design.</t>
        </r>
      </text>
    </comment>
    <comment ref="D1" authorId="0" shapeId="0" xr:uid="{00000000-0006-0000-0100-000003000000}">
      <text>
        <r>
          <rPr>
            <sz val="8"/>
            <color rgb="FF000000"/>
            <rFont val="Tahoma"/>
            <family val="2"/>
          </rPr>
          <t>Note: As of July 2009, all historical data have been revised as a result of changes to the survey design.</t>
        </r>
      </text>
    </comment>
    <comment ref="E1" authorId="0" shapeId="0" xr:uid="{00000000-0006-0000-0100-000004000000}">
      <text>
        <r>
          <rPr>
            <sz val="8"/>
            <color rgb="FF000000"/>
            <rFont val="Tahoma"/>
            <family val="2"/>
          </rPr>
          <t>Note: As of July 2009, all historical data have been revised as a result of changes to the survey design.</t>
        </r>
      </text>
    </comment>
    <comment ref="F1" authorId="0" shapeId="0" xr:uid="{00000000-0006-0000-0100-000005000000}">
      <text>
        <r>
          <rPr>
            <sz val="8"/>
            <color indexed="81"/>
            <rFont val="Tahoma"/>
            <family val="2"/>
          </rPr>
          <t>Note: As of July 2009, all historical data have been revised as a result of changes to the survey design.</t>
        </r>
      </text>
    </comment>
    <comment ref="G1" authorId="0" shapeId="0" xr:uid="{00000000-0006-0000-0100-000006000000}">
      <text>
        <r>
          <rPr>
            <sz val="8"/>
            <color indexed="81"/>
            <rFont val="Tahoma"/>
            <family val="2"/>
          </rPr>
          <t>Note: As of July 2009, all historical data have been revised as a result of changes to the survey design.</t>
        </r>
      </text>
    </comment>
    <comment ref="H1" authorId="0" shapeId="0" xr:uid="{00000000-0006-0000-0100-000007000000}">
      <text>
        <r>
          <rPr>
            <sz val="8"/>
            <color indexed="81"/>
            <rFont val="Tahoma"/>
            <family val="2"/>
          </rPr>
          <t>Note: As of July 2009, all historical data have been revised as a result of changes to the survey design.</t>
        </r>
      </text>
    </comment>
    <comment ref="I1" authorId="0" shapeId="0" xr:uid="{00000000-0006-0000-0100-000008000000}">
      <text>
        <r>
          <rPr>
            <sz val="8"/>
            <color indexed="81"/>
            <rFont val="Tahoma"/>
            <family val="2"/>
          </rPr>
          <t>Note: As of July 2009, all historical data have been revised as a result of changes to the survey design.</t>
        </r>
      </text>
    </comment>
    <comment ref="J1" authorId="0" shapeId="0" xr:uid="{00000000-0006-0000-0100-000009000000}">
      <text>
        <r>
          <rPr>
            <sz val="8"/>
            <color indexed="81"/>
            <rFont val="Tahoma"/>
            <family val="2"/>
          </rPr>
          <t>Note: As of July 2009, all historical data have been revised as a result of changes to the survey design.</t>
        </r>
      </text>
    </comment>
    <comment ref="K1" authorId="0" shapeId="0" xr:uid="{00000000-0006-0000-0100-00000A000000}">
      <text>
        <r>
          <rPr>
            <sz val="8"/>
            <color indexed="81"/>
            <rFont val="Tahoma"/>
            <family val="2"/>
          </rPr>
          <t>Note: As of July 2009, all historical data have been revised as a result of changes to the survey design.</t>
        </r>
      </text>
    </comment>
    <comment ref="L1" authorId="0" shapeId="0" xr:uid="{00000000-0006-0000-0100-00000B000000}">
      <text>
        <r>
          <rPr>
            <sz val="8"/>
            <color rgb="FF000000"/>
            <rFont val="Tahoma"/>
            <family val="2"/>
          </rPr>
          <t>Note: As of July 2009, all historical data have been revised as a result of changes to the survey design.</t>
        </r>
      </text>
    </comment>
    <comment ref="M1" authorId="0" shapeId="0" xr:uid="{00000000-0006-0000-0100-00000C000000}">
      <text>
        <r>
          <rPr>
            <sz val="8"/>
            <color indexed="81"/>
            <rFont val="Tahoma"/>
            <family val="2"/>
          </rPr>
          <t>Note: As of July 2009, all historical data have been revised as a result of changes to the survey design.</t>
        </r>
      </text>
    </comment>
    <comment ref="N1" authorId="0" shapeId="0" xr:uid="{00000000-0006-0000-0100-00000D000000}">
      <text>
        <r>
          <rPr>
            <sz val="8"/>
            <color indexed="81"/>
            <rFont val="Tahoma"/>
            <family val="2"/>
          </rPr>
          <t>Note: As of July 2009, all historical data have been revised as a result of changes to the survey design.</t>
        </r>
      </text>
    </comment>
    <comment ref="O1" authorId="0" shapeId="0" xr:uid="{00000000-0006-0000-0100-00000E000000}">
      <text>
        <r>
          <rPr>
            <sz val="8"/>
            <color indexed="81"/>
            <rFont val="Tahoma"/>
            <family val="2"/>
          </rPr>
          <t>Note: As of July 2009, all historical data have been revised as a result of changes to the survey design.</t>
        </r>
      </text>
    </comment>
    <comment ref="P1" authorId="0" shapeId="0" xr:uid="{00000000-0006-0000-0100-00000F000000}">
      <text>
        <r>
          <rPr>
            <sz val="8"/>
            <color indexed="81"/>
            <rFont val="Tahoma"/>
            <family val="2"/>
          </rPr>
          <t>Note: As of July 2009, all historical data have been revised as a result of changes to the survey design.</t>
        </r>
      </text>
    </comment>
    <comment ref="Q1" authorId="0" shapeId="0" xr:uid="{00000000-0006-0000-0100-000010000000}">
      <text>
        <r>
          <rPr>
            <sz val="8"/>
            <color indexed="81"/>
            <rFont val="Tahoma"/>
            <family val="2"/>
          </rPr>
          <t>Note: As of July 2009, all historical data have been revised as a result of changes to the survey design.</t>
        </r>
      </text>
    </comment>
    <comment ref="R1" authorId="0" shapeId="0" xr:uid="{00000000-0006-0000-0100-000011000000}">
      <text>
        <r>
          <rPr>
            <sz val="8"/>
            <color indexed="81"/>
            <rFont val="Tahoma"/>
            <family val="2"/>
          </rPr>
          <t>Note: As of July 2009, all historical data have been revised as a result of changes to the survey design.</t>
        </r>
      </text>
    </comment>
    <comment ref="S1" authorId="0" shapeId="0" xr:uid="{00000000-0006-0000-0100-000012000000}">
      <text>
        <r>
          <rPr>
            <sz val="8"/>
            <color indexed="81"/>
            <rFont val="Tahoma"/>
            <family val="2"/>
          </rPr>
          <t>Note: As of July 2009, all historical data have been revised as a result of changes to the survey design.</t>
        </r>
      </text>
    </comment>
    <comment ref="T1" authorId="0" shapeId="0" xr:uid="{00000000-0006-0000-0100-000013000000}">
      <text>
        <r>
          <rPr>
            <sz val="8"/>
            <color indexed="81"/>
            <rFont val="Tahoma"/>
            <family val="2"/>
          </rPr>
          <t>Note: As of July 2009, all historical data have been revised as a result of changes to the survey design.</t>
        </r>
      </text>
    </comment>
    <comment ref="U1" authorId="0" shapeId="0" xr:uid="{00000000-0006-0000-0100-000014000000}">
      <text>
        <r>
          <rPr>
            <sz val="8"/>
            <color indexed="81"/>
            <rFont val="Tahoma"/>
            <family val="2"/>
          </rPr>
          <t>Note: As of July 2009, all historical data have been revised as a result of changes to the survey design.</t>
        </r>
      </text>
    </comment>
    <comment ref="V1" authorId="0" shapeId="0" xr:uid="{00000000-0006-0000-0100-000015000000}">
      <text>
        <r>
          <rPr>
            <sz val="8"/>
            <color indexed="81"/>
            <rFont val="Tahoma"/>
            <family val="2"/>
          </rPr>
          <t>Note: As of July 2009, all historical data have been revised as a result of changes to the survey design.</t>
        </r>
      </text>
    </comment>
    <comment ref="A6" authorId="0" shapeId="0" xr:uid="{00000000-0006-0000-0100-000016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U158" authorId="0" shapeId="0" xr:uid="{00000000-0006-0000-0100-000017000000}">
      <text>
        <r>
          <rPr>
            <sz val="8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P194" authorId="0" shapeId="0" xr:uid="{00000000-0006-0000-0100-000018000000}">
      <text>
        <r>
          <rPr>
            <sz val="8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P200" authorId="0" shapeId="0" xr:uid="{00000000-0006-0000-0100-000019000000}">
      <text>
        <r>
          <rPr>
            <sz val="8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Q200" authorId="0" shapeId="0" xr:uid="{00000000-0006-0000-0100-00001A000000}">
      <text>
        <r>
          <rPr>
            <sz val="8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U203" authorId="0" shapeId="0" xr:uid="{00000000-0006-0000-0100-00001B000000}">
      <text>
        <r>
          <rPr>
            <sz val="8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P224" authorId="0" shapeId="0" xr:uid="{00000000-0006-0000-0100-00001C000000}">
      <text>
        <r>
          <rPr>
            <sz val="8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R224" authorId="0" shapeId="0" xr:uid="{00000000-0006-0000-0100-00001D000000}">
      <text>
        <r>
          <rPr>
            <sz val="8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T224" authorId="0" shapeId="0" xr:uid="{00000000-0006-0000-0100-00001E000000}">
      <text>
        <r>
          <rPr>
            <sz val="8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P230" authorId="0" shapeId="0" xr:uid="{00000000-0006-0000-0100-00001F000000}">
      <text>
        <r>
          <rPr>
            <sz val="8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Q230" authorId="0" shapeId="0" xr:uid="{00000000-0006-0000-0100-000020000000}">
      <text>
        <r>
          <rPr>
            <sz val="8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R230" authorId="0" shapeId="0" xr:uid="{00000000-0006-0000-0100-000021000000}">
      <text>
        <r>
          <rPr>
            <sz val="8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S230" authorId="0" shapeId="0" xr:uid="{00000000-0006-0000-0100-000022000000}">
      <text>
        <r>
          <rPr>
            <sz val="8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T230" authorId="0" shapeId="0" xr:uid="{00000000-0006-0000-0100-000023000000}">
      <text>
        <r>
          <rPr>
            <sz val="8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U230" authorId="0" shapeId="0" xr:uid="{00000000-0006-0000-0100-000024000000}">
      <text>
        <r>
          <rPr>
            <sz val="8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V230" authorId="0" shapeId="0" xr:uid="{00000000-0006-0000-0100-000025000000}">
      <text>
        <r>
          <rPr>
            <sz val="8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T269" authorId="0" shapeId="0" xr:uid="{00000000-0006-0000-0100-000026000000}">
      <text>
        <r>
          <rPr>
            <sz val="8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T317" authorId="0" shapeId="0" xr:uid="{00000000-0006-0000-0100-000027000000}">
      <text>
        <r>
          <rPr>
            <sz val="8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P329" authorId="0" shapeId="0" xr:uid="{00000000-0006-0000-0100-000028000000}">
      <text>
        <r>
          <rPr>
            <sz val="8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P391" authorId="0" shapeId="0" xr:uid="{00000000-0006-0000-0100-000029000000}">
      <text>
        <r>
          <rPr>
            <sz val="8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V391" authorId="0" shapeId="0" xr:uid="{00000000-0006-0000-0100-00002A000000}">
      <text>
        <r>
          <rPr>
            <sz val="8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Q400" authorId="0" shapeId="0" xr:uid="{00000000-0006-0000-0100-00002B000000}">
      <text>
        <r>
          <rPr>
            <sz val="8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V400" authorId="0" shapeId="0" xr:uid="{00000000-0006-0000-0100-00002C000000}">
      <text>
        <r>
          <rPr>
            <sz val="8"/>
            <color indexed="81"/>
            <rFont val="Tahoma"/>
            <family val="2"/>
          </rPr>
          <t>Possible break in series. See the 'Trend Estimates' section of the Explanatory Notes.</t>
        </r>
      </text>
    </comment>
    <comment ref="P466" authorId="0" shapeId="0" xr:uid="{00000000-0006-0000-0100-00002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66" authorId="0" shapeId="0" xr:uid="{00000000-0006-0000-0100-00002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66" authorId="0" shapeId="0" xr:uid="{00000000-0006-0000-0100-00002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66" authorId="0" shapeId="0" xr:uid="{00000000-0006-0000-0100-00003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66" authorId="0" shapeId="0" xr:uid="{00000000-0006-0000-0100-00003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66" authorId="0" shapeId="0" xr:uid="{00000000-0006-0000-0100-00003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66" authorId="0" shapeId="0" xr:uid="{00000000-0006-0000-0100-00003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67" authorId="0" shapeId="0" xr:uid="{00000000-0006-0000-0100-00003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67" authorId="0" shapeId="0" xr:uid="{00000000-0006-0000-0100-00003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67" authorId="0" shapeId="0" xr:uid="{00000000-0006-0000-0100-00003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67" authorId="0" shapeId="0" xr:uid="{00000000-0006-0000-0100-00003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67" authorId="0" shapeId="0" xr:uid="{00000000-0006-0000-0100-00003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67" authorId="0" shapeId="0" xr:uid="{00000000-0006-0000-0100-00003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67" authorId="0" shapeId="0" xr:uid="{00000000-0006-0000-0100-00003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68" authorId="0" shapeId="0" xr:uid="{00000000-0006-0000-0100-00003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68" authorId="0" shapeId="0" xr:uid="{00000000-0006-0000-0100-00003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68" authorId="0" shapeId="0" xr:uid="{00000000-0006-0000-0100-00003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68" authorId="0" shapeId="0" xr:uid="{00000000-0006-0000-0100-00003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68" authorId="0" shapeId="0" xr:uid="{00000000-0006-0000-0100-00003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68" authorId="0" shapeId="0" xr:uid="{00000000-0006-0000-0100-00004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68" authorId="0" shapeId="0" xr:uid="{00000000-0006-0000-0100-00004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69" authorId="0" shapeId="0" xr:uid="{00000000-0006-0000-0100-00004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69" authorId="0" shapeId="0" xr:uid="{00000000-0006-0000-0100-00004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69" authorId="0" shapeId="0" xr:uid="{00000000-0006-0000-0100-00004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69" authorId="0" shapeId="0" xr:uid="{00000000-0006-0000-0100-00004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69" authorId="0" shapeId="0" xr:uid="{00000000-0006-0000-0100-00004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69" authorId="0" shapeId="0" xr:uid="{00000000-0006-0000-0100-00004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69" authorId="0" shapeId="0" xr:uid="{00000000-0006-0000-0100-00004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70" authorId="0" shapeId="0" xr:uid="{00000000-0006-0000-0100-00004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70" authorId="0" shapeId="0" xr:uid="{00000000-0006-0000-0100-00004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70" authorId="0" shapeId="0" xr:uid="{00000000-0006-0000-0100-00004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70" authorId="0" shapeId="0" xr:uid="{00000000-0006-0000-0100-00004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70" authorId="0" shapeId="0" xr:uid="{00000000-0006-0000-0100-00004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70" authorId="0" shapeId="0" xr:uid="{00000000-0006-0000-0100-00004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70" authorId="0" shapeId="0" xr:uid="{00000000-0006-0000-0100-00004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71" authorId="0" shapeId="0" xr:uid="{00000000-0006-0000-0100-00005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71" authorId="0" shapeId="0" xr:uid="{00000000-0006-0000-0100-00005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71" authorId="0" shapeId="0" xr:uid="{00000000-0006-0000-0100-00005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71" authorId="0" shapeId="0" xr:uid="{00000000-0006-0000-0100-00005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71" authorId="0" shapeId="0" xr:uid="{00000000-0006-0000-0100-00005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71" authorId="0" shapeId="0" xr:uid="{00000000-0006-0000-0100-00005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71" authorId="0" shapeId="0" xr:uid="{00000000-0006-0000-0100-00005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72" authorId="0" shapeId="0" xr:uid="{00000000-0006-0000-0100-00005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72" authorId="0" shapeId="0" xr:uid="{00000000-0006-0000-0100-00005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72" authorId="0" shapeId="0" xr:uid="{00000000-0006-0000-0100-00005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72" authorId="0" shapeId="0" xr:uid="{00000000-0006-0000-0100-00005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72" authorId="0" shapeId="0" xr:uid="{00000000-0006-0000-0100-00005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72" authorId="0" shapeId="0" xr:uid="{00000000-0006-0000-0100-00005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72" authorId="0" shapeId="0" xr:uid="{00000000-0006-0000-0100-00005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73" authorId="0" shapeId="0" xr:uid="{00000000-0006-0000-0100-00005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73" authorId="0" shapeId="0" xr:uid="{00000000-0006-0000-0100-00005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73" authorId="0" shapeId="0" xr:uid="{00000000-0006-0000-0100-00006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73" authorId="0" shapeId="0" xr:uid="{00000000-0006-0000-0100-00006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73" authorId="0" shapeId="0" xr:uid="{00000000-0006-0000-0100-00006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73" authorId="0" shapeId="0" xr:uid="{00000000-0006-0000-0100-00006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73" authorId="0" shapeId="0" xr:uid="{00000000-0006-0000-0100-00006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74" authorId="0" shapeId="0" xr:uid="{00000000-0006-0000-0100-00006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74" authorId="0" shapeId="0" xr:uid="{00000000-0006-0000-0100-00006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74" authorId="0" shapeId="0" xr:uid="{00000000-0006-0000-0100-00006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74" authorId="0" shapeId="0" xr:uid="{00000000-0006-0000-0100-00006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74" authorId="0" shapeId="0" xr:uid="{00000000-0006-0000-0100-00006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74" authorId="0" shapeId="0" xr:uid="{00000000-0006-0000-0100-00006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74" authorId="0" shapeId="0" xr:uid="{00000000-0006-0000-0100-00006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75" authorId="0" shapeId="0" xr:uid="{00000000-0006-0000-0100-00006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75" authorId="0" shapeId="0" xr:uid="{00000000-0006-0000-0100-00006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75" authorId="0" shapeId="0" xr:uid="{00000000-0006-0000-0100-00006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75" authorId="0" shapeId="0" xr:uid="{00000000-0006-0000-0100-00006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75" authorId="0" shapeId="0" xr:uid="{00000000-0006-0000-0100-00007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75" authorId="0" shapeId="0" xr:uid="{00000000-0006-0000-0100-00007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75" authorId="0" shapeId="0" xr:uid="{00000000-0006-0000-0100-00007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76" authorId="0" shapeId="0" xr:uid="{00000000-0006-0000-0100-00007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76" authorId="0" shapeId="0" xr:uid="{00000000-0006-0000-0100-00007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76" authorId="0" shapeId="0" xr:uid="{00000000-0006-0000-0100-00007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76" authorId="0" shapeId="0" xr:uid="{00000000-0006-0000-0100-00007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76" authorId="0" shapeId="0" xr:uid="{00000000-0006-0000-0100-00007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76" authorId="0" shapeId="0" xr:uid="{00000000-0006-0000-0100-00007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76" authorId="0" shapeId="0" xr:uid="{00000000-0006-0000-0100-00007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77" authorId="0" shapeId="0" xr:uid="{00000000-0006-0000-0100-00007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77" authorId="0" shapeId="0" xr:uid="{00000000-0006-0000-0100-00007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77" authorId="0" shapeId="0" xr:uid="{00000000-0006-0000-0100-00007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77" authorId="0" shapeId="0" xr:uid="{00000000-0006-0000-0100-00007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77" authorId="0" shapeId="0" xr:uid="{00000000-0006-0000-0100-00007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77" authorId="0" shapeId="0" xr:uid="{00000000-0006-0000-0100-00007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77" authorId="0" shapeId="0" xr:uid="{00000000-0006-0000-0100-00008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78" authorId="0" shapeId="0" xr:uid="{00000000-0006-0000-0100-00008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78" authorId="0" shapeId="0" xr:uid="{00000000-0006-0000-0100-00008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78" authorId="0" shapeId="0" xr:uid="{00000000-0006-0000-0100-00008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78" authorId="0" shapeId="0" xr:uid="{00000000-0006-0000-0100-00008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78" authorId="0" shapeId="0" xr:uid="{00000000-0006-0000-0100-00008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78" authorId="0" shapeId="0" xr:uid="{00000000-0006-0000-0100-00008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78" authorId="0" shapeId="0" xr:uid="{00000000-0006-0000-0100-00008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79" authorId="0" shapeId="0" xr:uid="{00000000-0006-0000-0100-00008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79" authorId="0" shapeId="0" xr:uid="{00000000-0006-0000-0100-00008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79" authorId="0" shapeId="0" xr:uid="{00000000-0006-0000-0100-00008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79" authorId="0" shapeId="0" xr:uid="{00000000-0006-0000-0100-00008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79" authorId="0" shapeId="0" xr:uid="{00000000-0006-0000-0100-00008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79" authorId="0" shapeId="0" xr:uid="{00000000-0006-0000-0100-00008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79" authorId="0" shapeId="0" xr:uid="{00000000-0006-0000-0100-00008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80" authorId="0" shapeId="0" xr:uid="{00000000-0006-0000-0100-00008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80" authorId="0" shapeId="0" xr:uid="{00000000-0006-0000-0100-00009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80" authorId="0" shapeId="0" xr:uid="{00000000-0006-0000-0100-00009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80" authorId="0" shapeId="0" xr:uid="{00000000-0006-0000-0100-00009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80" authorId="0" shapeId="0" xr:uid="{00000000-0006-0000-0100-00009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80" authorId="0" shapeId="0" xr:uid="{00000000-0006-0000-0100-00009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80" authorId="0" shapeId="0" xr:uid="{00000000-0006-0000-0100-00009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81" authorId="0" shapeId="0" xr:uid="{00000000-0006-0000-0100-00009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81" authorId="0" shapeId="0" xr:uid="{00000000-0006-0000-0100-00009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81" authorId="0" shapeId="0" xr:uid="{00000000-0006-0000-0100-00009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81" authorId="0" shapeId="0" xr:uid="{00000000-0006-0000-0100-00009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81" authorId="0" shapeId="0" xr:uid="{00000000-0006-0000-0100-00009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81" authorId="0" shapeId="0" xr:uid="{00000000-0006-0000-0100-00009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81" authorId="0" shapeId="0" xr:uid="{00000000-0006-0000-0100-00009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82" authorId="0" shapeId="0" xr:uid="{00000000-0006-0000-0100-00009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82" authorId="0" shapeId="0" xr:uid="{00000000-0006-0000-0100-00009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82" authorId="0" shapeId="0" xr:uid="{00000000-0006-0000-0100-00009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82" authorId="0" shapeId="0" xr:uid="{00000000-0006-0000-0100-0000A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82" authorId="0" shapeId="0" xr:uid="{00000000-0006-0000-0100-0000A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82" authorId="0" shapeId="0" xr:uid="{00000000-0006-0000-0100-0000A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82" authorId="0" shapeId="0" xr:uid="{00000000-0006-0000-0100-0000A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83" authorId="0" shapeId="0" xr:uid="{00000000-0006-0000-0100-0000A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83" authorId="0" shapeId="0" xr:uid="{00000000-0006-0000-0100-0000A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83" authorId="0" shapeId="0" xr:uid="{00000000-0006-0000-0100-0000A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83" authorId="0" shapeId="0" xr:uid="{00000000-0006-0000-0100-0000A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83" authorId="0" shapeId="0" xr:uid="{00000000-0006-0000-0100-0000A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83" authorId="0" shapeId="0" xr:uid="{00000000-0006-0000-0100-0000A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83" authorId="0" shapeId="0" xr:uid="{00000000-0006-0000-0100-0000A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84" authorId="0" shapeId="0" xr:uid="{00000000-0006-0000-0100-0000A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84" authorId="0" shapeId="0" xr:uid="{00000000-0006-0000-0100-0000A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84" authorId="0" shapeId="0" xr:uid="{00000000-0006-0000-0100-0000A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84" authorId="0" shapeId="0" xr:uid="{00000000-0006-0000-0100-0000A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84" authorId="0" shapeId="0" xr:uid="{00000000-0006-0000-0100-0000A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84" authorId="0" shapeId="0" xr:uid="{00000000-0006-0000-0100-0000B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84" authorId="0" shapeId="0" xr:uid="{00000000-0006-0000-0100-0000B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85" authorId="0" shapeId="0" xr:uid="{00000000-0006-0000-0100-0000B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85" authorId="0" shapeId="0" xr:uid="{00000000-0006-0000-0100-0000B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85" authorId="0" shapeId="0" xr:uid="{00000000-0006-0000-0100-0000B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85" authorId="0" shapeId="0" xr:uid="{00000000-0006-0000-0100-0000B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85" authorId="0" shapeId="0" xr:uid="{00000000-0006-0000-0100-0000B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85" authorId="0" shapeId="0" xr:uid="{00000000-0006-0000-0100-0000B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85" authorId="0" shapeId="0" xr:uid="{00000000-0006-0000-0100-0000B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86" authorId="0" shapeId="0" xr:uid="{00000000-0006-0000-0100-0000B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86" authorId="0" shapeId="0" xr:uid="{00000000-0006-0000-0100-0000B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86" authorId="0" shapeId="0" xr:uid="{00000000-0006-0000-0100-0000B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86" authorId="0" shapeId="0" xr:uid="{00000000-0006-0000-0100-0000B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86" authorId="0" shapeId="0" xr:uid="{00000000-0006-0000-0100-0000B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86" authorId="0" shapeId="0" xr:uid="{00000000-0006-0000-0100-0000B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86" authorId="0" shapeId="0" xr:uid="{00000000-0006-0000-0100-0000B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87" authorId="0" shapeId="0" xr:uid="{00000000-0006-0000-0100-0000C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87" authorId="0" shapeId="0" xr:uid="{00000000-0006-0000-0100-0000C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87" authorId="0" shapeId="0" xr:uid="{00000000-0006-0000-0100-0000C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87" authorId="0" shapeId="0" xr:uid="{00000000-0006-0000-0100-0000C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87" authorId="0" shapeId="0" xr:uid="{00000000-0006-0000-0100-0000C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87" authorId="0" shapeId="0" xr:uid="{00000000-0006-0000-0100-0000C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87" authorId="0" shapeId="0" xr:uid="{00000000-0006-0000-0100-0000C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88" authorId="0" shapeId="0" xr:uid="{00000000-0006-0000-0100-0000C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88" authorId="0" shapeId="0" xr:uid="{00000000-0006-0000-0100-0000C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88" authorId="0" shapeId="0" xr:uid="{00000000-0006-0000-0100-0000C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88" authorId="0" shapeId="0" xr:uid="{00000000-0006-0000-0100-0000C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88" authorId="0" shapeId="0" xr:uid="{00000000-0006-0000-0100-0000C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88" authorId="0" shapeId="0" xr:uid="{00000000-0006-0000-0100-0000C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88" authorId="0" shapeId="0" xr:uid="{00000000-0006-0000-0100-0000C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89" authorId="0" shapeId="0" xr:uid="{00000000-0006-0000-0100-0000C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89" authorId="0" shapeId="0" xr:uid="{00000000-0006-0000-0100-0000C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89" authorId="0" shapeId="0" xr:uid="{00000000-0006-0000-0100-0000D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89" authorId="0" shapeId="0" xr:uid="{00000000-0006-0000-0100-0000D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89" authorId="0" shapeId="0" xr:uid="{00000000-0006-0000-0100-0000D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89" authorId="0" shapeId="0" xr:uid="{00000000-0006-0000-0100-0000D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89" authorId="0" shapeId="0" xr:uid="{00000000-0006-0000-0100-0000D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90" authorId="0" shapeId="0" xr:uid="{00000000-0006-0000-0100-0000D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90" authorId="0" shapeId="0" xr:uid="{00000000-0006-0000-0100-0000D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90" authorId="0" shapeId="0" xr:uid="{00000000-0006-0000-0100-0000D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90" authorId="0" shapeId="0" xr:uid="{00000000-0006-0000-0100-0000D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90" authorId="0" shapeId="0" xr:uid="{00000000-0006-0000-0100-0000D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90" authorId="0" shapeId="0" xr:uid="{00000000-0006-0000-0100-0000D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90" authorId="0" shapeId="0" xr:uid="{00000000-0006-0000-0100-0000D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91" authorId="0" shapeId="0" xr:uid="{00000000-0006-0000-0100-0000D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91" authorId="0" shapeId="0" xr:uid="{00000000-0006-0000-0100-0000D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91" authorId="0" shapeId="0" xr:uid="{00000000-0006-0000-0100-0000D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91" authorId="0" shapeId="0" xr:uid="{00000000-0006-0000-0100-0000D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91" authorId="0" shapeId="0" xr:uid="{00000000-0006-0000-0100-0000E0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91" authorId="0" shapeId="0" xr:uid="{00000000-0006-0000-0100-0000E1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91" authorId="0" shapeId="0" xr:uid="{00000000-0006-0000-0100-0000E2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92" authorId="0" shapeId="0" xr:uid="{00000000-0006-0000-0100-0000E3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92" authorId="0" shapeId="0" xr:uid="{00000000-0006-0000-0100-0000E4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92" authorId="0" shapeId="0" xr:uid="{00000000-0006-0000-0100-0000E5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92" authorId="0" shapeId="0" xr:uid="{00000000-0006-0000-0100-0000E6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92" authorId="0" shapeId="0" xr:uid="{00000000-0006-0000-0100-0000E7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92" authorId="0" shapeId="0" xr:uid="{00000000-0006-0000-0100-0000E8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92" authorId="0" shapeId="0" xr:uid="{00000000-0006-0000-0100-0000E9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P493" authorId="0" shapeId="0" xr:uid="{00000000-0006-0000-0100-0000EA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Q493" authorId="0" shapeId="0" xr:uid="{00000000-0006-0000-0100-0000EB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R493" authorId="0" shapeId="0" xr:uid="{00000000-0006-0000-0100-0000EC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S493" authorId="0" shapeId="0" xr:uid="{00000000-0006-0000-0100-0000ED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T493" authorId="0" shapeId="0" xr:uid="{00000000-0006-0000-0100-0000EE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U493" authorId="0" shapeId="0" xr:uid="{00000000-0006-0000-0100-0000EF000000}">
      <text>
        <r>
          <rPr>
            <sz val="8"/>
            <color indexed="81"/>
            <rFont val="Tahoma"/>
            <family val="2"/>
          </rPr>
          <t>not available</t>
        </r>
      </text>
    </comment>
    <comment ref="V493" authorId="0" shapeId="0" xr:uid="{00000000-0006-0000-0100-0000F0000000}">
      <text>
        <r>
          <rPr>
            <sz val="8"/>
            <color indexed="81"/>
            <rFont val="Tahoma"/>
            <family val="2"/>
          </rPr>
          <t>not available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F6CF0721-BD53-F749-8AA6-431896DA32A8}">
      <text>
        <r>
          <rPr>
            <sz val="8"/>
            <color rgb="FF000000"/>
            <rFont val="Tahoma"/>
            <family val="2"/>
          </rPr>
          <t>Note: As of July 2009, all historical data have been revised as a result of changes to the survey design.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B29E3C75-0980-3E4D-A2E6-613E973334FC}">
      <text>
        <r>
          <rPr>
            <sz val="8"/>
            <color rgb="FF000000"/>
            <rFont val="Tahoma"/>
            <family val="2"/>
          </rPr>
          <t>Note: As of July 2009, all historical data have been revised as a result of changes to the survey design.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67E7D482-8C0E-E044-89FC-733F116E2C99}">
      <text>
        <r>
          <rPr>
            <sz val="8"/>
            <color rgb="FF000000"/>
            <rFont val="Tahoma"/>
            <family val="2"/>
          </rPr>
          <t>Note: As of July 2009, all historical data have been revised as a result of changes to the survey design.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F3FBD7E4-4EA8-D44A-A819-AECDFAC81807}">
      <text>
        <r>
          <rPr>
            <sz val="8"/>
            <color rgb="FF000000"/>
            <rFont val="Tahoma"/>
            <family val="2"/>
          </rPr>
          <t>Note: As of July 2009, all historical data have been revised as a result of changes to the survey design.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60EBBE93-E886-E746-B73D-A8A482B96756}">
      <text>
        <r>
          <rPr>
            <sz val="8"/>
            <color rgb="FF000000"/>
            <rFont val="Tahoma"/>
            <family val="2"/>
          </rPr>
          <t>Note: As of July 2009, all historical data have been revised as a result of changes to the survey design.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DAB85096-93A6-A145-927B-676A26AAC783}">
      <text>
        <r>
          <rPr>
            <sz val="8"/>
            <color rgb="FF000000"/>
            <rFont val="Tahoma"/>
            <family val="2"/>
          </rPr>
          <t>Note: As of July 2009, all historical data have been revised as a result of changes to the survey design.</t>
        </r>
      </text>
    </comment>
  </commentList>
</comments>
</file>

<file path=xl/sharedStrings.xml><?xml version="1.0" encoding="utf-8"?>
<sst xmlns="http://schemas.openxmlformats.org/spreadsheetml/2006/main" count="309" uniqueCount="93">
  <si>
    <t>Turnover ;  Total (State) ;  Food retailing ;</t>
  </si>
  <si>
    <t>Turnover ;  Total (State) ;  Household goods retailing ;</t>
  </si>
  <si>
    <t>Turnover ;  Total (State) ;  Clothing, footwear and personal accessory retailing ;</t>
  </si>
  <si>
    <t>Turnover ;  Total (State) ;  Department stores ;</t>
  </si>
  <si>
    <t>Turnover ;  Total (State) ;  Other retailing ;</t>
  </si>
  <si>
    <t>Turnover ;  Total (State) ;  Cafes, restaurants and takeaway food services ;</t>
  </si>
  <si>
    <t>Turnover ;  Total (State) ;  Total (Industry)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</si>
  <si>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</si>
  <si>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</si>
  <si>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</si>
  <si>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</si>
  <si>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</si>
  <si>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</si>
  <si>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</si>
  <si>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</si>
  <si>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</si>
  <si>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$ Millions</t>
  </si>
  <si>
    <t>Original</t>
  </si>
  <si>
    <t>FLOW</t>
  </si>
  <si>
    <t>Month</t>
  </si>
  <si>
    <t>A3348591K</t>
  </si>
  <si>
    <t>A3348600A</t>
  </si>
  <si>
    <t>A3348609W</t>
  </si>
  <si>
    <t>A3348618X</t>
  </si>
  <si>
    <t>A3348627A</t>
  </si>
  <si>
    <t>A3348636C</t>
  </si>
  <si>
    <t>A3348582J</t>
  </si>
  <si>
    <t>Seasonally Adjusted</t>
  </si>
  <si>
    <t>A3348594T</t>
  </si>
  <si>
    <t>A3348603J</t>
  </si>
  <si>
    <t>A3348612K</t>
  </si>
  <si>
    <t>A3348621L</t>
  </si>
  <si>
    <t>A3348630R</t>
  </si>
  <si>
    <t>A3348639K</t>
  </si>
  <si>
    <t>A3348585R</t>
  </si>
  <si>
    <t>Trend</t>
  </si>
  <si>
    <t>A3348597X</t>
  </si>
  <si>
    <t>A3348606R</t>
  </si>
  <si>
    <t>A3348615T</t>
  </si>
  <si>
    <t>A3348624V</t>
  </si>
  <si>
    <t>A3348633W</t>
  </si>
  <si>
    <t>A3348642X</t>
  </si>
  <si>
    <t>A3348588W</t>
  </si>
  <si>
    <t>alpha</t>
  </si>
  <si>
    <t>Error</t>
  </si>
  <si>
    <t>Absolute Error</t>
  </si>
  <si>
    <t>Squared Error</t>
  </si>
  <si>
    <t>Absolute Percentage Error</t>
  </si>
  <si>
    <t>MAE</t>
  </si>
  <si>
    <t>MSE</t>
  </si>
  <si>
    <t>MAPE</t>
  </si>
  <si>
    <t>RMSE</t>
  </si>
  <si>
    <t>beta</t>
  </si>
  <si>
    <t>gamma</t>
  </si>
  <si>
    <t>Level</t>
  </si>
  <si>
    <t>Seasonal</t>
  </si>
  <si>
    <t>Forecast</t>
  </si>
  <si>
    <t>initial trend calculation</t>
  </si>
  <si>
    <t>year 1</t>
  </si>
  <si>
    <t>year 2</t>
  </si>
  <si>
    <t>y2-y1</t>
  </si>
  <si>
    <t>(y2-y1)/12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</si>
  <si>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</si>
  <si>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</si>
  <si>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</si>
  <si>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</si>
  <si>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</si>
  <si>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</si>
  <si>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</si>
  <si>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</si>
  <si>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</si>
  <si>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</si>
  <si>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</si>
  <si>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</si>
  <si>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initial trend</t>
  </si>
  <si>
    <t>t</t>
  </si>
  <si>
    <t>Period</t>
  </si>
  <si>
    <t>Total (State) Department stores Turnover in $ millions</t>
  </si>
  <si>
    <t>Correlogram</t>
  </si>
  <si>
    <t>acf</t>
  </si>
  <si>
    <t>lags</t>
  </si>
  <si>
    <t>lower</t>
  </si>
  <si>
    <t>upper</t>
  </si>
  <si>
    <t>Out-of-sample forecast</t>
  </si>
  <si>
    <t>Within sample forecast</t>
  </si>
  <si>
    <t>Within Sample Forecast</t>
  </si>
  <si>
    <t>Out-of-sample Forecast</t>
  </si>
  <si>
    <t>Total Department stores Turnover in $ millions</t>
  </si>
  <si>
    <t>m</t>
  </si>
  <si>
    <t>Time Period</t>
  </si>
  <si>
    <t>Within sample Forecast</t>
  </si>
  <si>
    <t>Actual</t>
  </si>
  <si>
    <t>Actual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</si>
</sst>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-yyyy"/>
    <numFmt numFmtId="165" formatCode="0.0;\-0.0;0.0;@"/>
    <numFmt numFmtId="166" formatCode="0.00;\-0.00;0.00;@"/>
    <numFmt numFmtId="167" formatCode="0.00_);\(0.00\)"/>
    <numFmt numFmtId="168" formatCode="0.000000000000_);\(0.000000000000\)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indexed="81"/>
      <name val="Tahoma"/>
      <family val="2"/>
    </font>
    <font>
      <b/>
      <sz val="8"/>
      <color theme="1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3" fillId="0" borderId="0" xfId="0" applyFont="1"/>
    <xf numFmtId="164" fontId="3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1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0" fontId="3" fillId="0" borderId="0" xfId="0" applyFont="1" applyAlignment="1">
      <alignment horizontal="center"/>
    </xf>
    <xf numFmtId="2" fontId="1" fillId="0" borderId="0" xfId="0" applyNumberFormat="1" applyFont="1"/>
    <xf numFmtId="166" fontId="1" fillId="2" borderId="0" xfId="0" applyNumberFormat="1" applyFont="1" applyFill="1"/>
    <xf numFmtId="164" fontId="1" fillId="2" borderId="0" xfId="0" applyNumberFormat="1" applyFont="1" applyFill="1" applyAlignment="1">
      <alignment horizontal="left"/>
    </xf>
    <xf numFmtId="0" fontId="5" fillId="3" borderId="0" xfId="0" applyFont="1" applyFill="1"/>
    <xf numFmtId="0" fontId="5" fillId="4" borderId="0" xfId="0" applyFont="1" applyFill="1"/>
    <xf numFmtId="0" fontId="5" fillId="0" borderId="0" xfId="0" applyFont="1"/>
    <xf numFmtId="2" fontId="6" fillId="0" borderId="0" xfId="0" applyNumberFormat="1" applyFont="1"/>
    <xf numFmtId="2" fontId="6" fillId="3" borderId="0" xfId="0" applyNumberFormat="1" applyFont="1" applyFill="1"/>
    <xf numFmtId="0" fontId="1" fillId="3" borderId="0" xfId="0" applyFont="1" applyFill="1"/>
    <xf numFmtId="168" fontId="1" fillId="0" borderId="0" xfId="0" applyNumberFormat="1" applyFont="1"/>
    <xf numFmtId="2" fontId="1" fillId="2" borderId="0" xfId="0" applyNumberFormat="1" applyFont="1" applyFill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1" xfId="0" applyFont="1" applyBorder="1"/>
    <xf numFmtId="0" fontId="3" fillId="5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6" fontId="1" fillId="0" borderId="0" xfId="0" applyNumberFormat="1" applyFont="1" applyAlignment="1">
      <alignment horizontal="center"/>
    </xf>
    <xf numFmtId="167" fontId="1" fillId="2" borderId="0" xfId="0" applyNumberFormat="1" applyFont="1" applyFill="1"/>
    <xf numFmtId="0" fontId="1" fillId="2" borderId="0" xfId="0" applyFont="1" applyFill="1"/>
    <xf numFmtId="165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'Exercise 1 SES'!$E$1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'Exercise 1 SES'!$E$2:$E$97</c:f>
              <c:numCache>
                <c:formatCode>0.00_);\(0.00\)</c:formatCode>
                <c:ptCount val="96"/>
                <c:pt idx="0">
                  <c:v>0</c:v>
                </c:pt>
                <c:pt idx="1">
                  <c:v>0.59999999999990905</c:v>
                </c:pt>
                <c:pt idx="2">
                  <c:v>-44.099999999999909</c:v>
                </c:pt>
                <c:pt idx="3">
                  <c:v>27.950000000000045</c:v>
                </c:pt>
                <c:pt idx="4">
                  <c:v>12.074999999999818</c:v>
                </c:pt>
                <c:pt idx="5">
                  <c:v>8.5374999999999091</c:v>
                </c:pt>
                <c:pt idx="6">
                  <c:v>22.068749999999909</c:v>
                </c:pt>
                <c:pt idx="7">
                  <c:v>-7.6656250000000909</c:v>
                </c:pt>
                <c:pt idx="8">
                  <c:v>-10.832812500000045</c:v>
                </c:pt>
                <c:pt idx="9">
                  <c:v>-9.2164062499998636</c:v>
                </c:pt>
                <c:pt idx="10">
                  <c:v>-18.008203124999909</c:v>
                </c:pt>
                <c:pt idx="11">
                  <c:v>5.6958984374998636</c:v>
                </c:pt>
                <c:pt idx="12">
                  <c:v>-42.052050781250045</c:v>
                </c:pt>
                <c:pt idx="13">
                  <c:v>-16.626025390625273</c:v>
                </c:pt>
                <c:pt idx="14">
                  <c:v>-12.113012695312591</c:v>
                </c:pt>
                <c:pt idx="15">
                  <c:v>-7.0565063476562955</c:v>
                </c:pt>
                <c:pt idx="16">
                  <c:v>-16.028253173828261</c:v>
                </c:pt>
                <c:pt idx="17">
                  <c:v>17.785873413085938</c:v>
                </c:pt>
                <c:pt idx="18">
                  <c:v>13.492936706543105</c:v>
                </c:pt>
                <c:pt idx="19">
                  <c:v>-5.0535316467285156</c:v>
                </c:pt>
                <c:pt idx="20">
                  <c:v>-0.32676582336443971</c:v>
                </c:pt>
                <c:pt idx="21">
                  <c:v>58.936617088317917</c:v>
                </c:pt>
                <c:pt idx="22">
                  <c:v>-24.131691455841064</c:v>
                </c:pt>
                <c:pt idx="23">
                  <c:v>-13.965845727920396</c:v>
                </c:pt>
                <c:pt idx="24">
                  <c:v>-13.982922863960312</c:v>
                </c:pt>
                <c:pt idx="25">
                  <c:v>-28.89146143198036</c:v>
                </c:pt>
                <c:pt idx="26">
                  <c:v>22.854269284009661</c:v>
                </c:pt>
                <c:pt idx="27">
                  <c:v>21.127134642004876</c:v>
                </c:pt>
                <c:pt idx="28">
                  <c:v>-19.436432678997562</c:v>
                </c:pt>
                <c:pt idx="29">
                  <c:v>6.5817836605010598</c:v>
                </c:pt>
                <c:pt idx="30">
                  <c:v>-5.1091081697493337</c:v>
                </c:pt>
                <c:pt idx="31">
                  <c:v>0.24544591512540137</c:v>
                </c:pt>
                <c:pt idx="32">
                  <c:v>1.2227229575626097</c:v>
                </c:pt>
                <c:pt idx="33">
                  <c:v>-5.8886385212185814</c:v>
                </c:pt>
                <c:pt idx="34">
                  <c:v>43.555680739390709</c:v>
                </c:pt>
                <c:pt idx="35">
                  <c:v>10.377840369695377</c:v>
                </c:pt>
                <c:pt idx="36">
                  <c:v>-31.311079815152198</c:v>
                </c:pt>
                <c:pt idx="37">
                  <c:v>-1.7555399075763489</c:v>
                </c:pt>
                <c:pt idx="38">
                  <c:v>4.5222300462119165</c:v>
                </c:pt>
                <c:pt idx="39">
                  <c:v>7.8611150231058673</c:v>
                </c:pt>
                <c:pt idx="40">
                  <c:v>-24.569442488447066</c:v>
                </c:pt>
                <c:pt idx="41">
                  <c:v>18.215278755776581</c:v>
                </c:pt>
                <c:pt idx="42">
                  <c:v>-18.39236062211171</c:v>
                </c:pt>
                <c:pt idx="43">
                  <c:v>17.003819688944304</c:v>
                </c:pt>
                <c:pt idx="44">
                  <c:v>-22.098090155527871</c:v>
                </c:pt>
                <c:pt idx="45">
                  <c:v>19.05095492223586</c:v>
                </c:pt>
                <c:pt idx="46">
                  <c:v>19.425477461117907</c:v>
                </c:pt>
                <c:pt idx="47">
                  <c:v>4.0127387305587945</c:v>
                </c:pt>
                <c:pt idx="48">
                  <c:v>-19.093630634720512</c:v>
                </c:pt>
                <c:pt idx="49">
                  <c:v>16.653184682639676</c:v>
                </c:pt>
                <c:pt idx="50">
                  <c:v>9.4265923413199744</c:v>
                </c:pt>
                <c:pt idx="51">
                  <c:v>0.21329617065998718</c:v>
                </c:pt>
                <c:pt idx="52">
                  <c:v>9.206648085329789</c:v>
                </c:pt>
                <c:pt idx="53">
                  <c:v>14.503324042664872</c:v>
                </c:pt>
                <c:pt idx="54">
                  <c:v>-16.948337978667496</c:v>
                </c:pt>
                <c:pt idx="55">
                  <c:v>12.125831010666161</c:v>
                </c:pt>
                <c:pt idx="56">
                  <c:v>-154.93708449466703</c:v>
                </c:pt>
                <c:pt idx="57">
                  <c:v>-261.96854224733352</c:v>
                </c:pt>
                <c:pt idx="58">
                  <c:v>379.21572887633329</c:v>
                </c:pt>
                <c:pt idx="59">
                  <c:v>12.607864438166644</c:v>
                </c:pt>
                <c:pt idx="60">
                  <c:v>62.103932219083163</c:v>
                </c:pt>
                <c:pt idx="61">
                  <c:v>-129.44803389045842</c:v>
                </c:pt>
                <c:pt idx="62">
                  <c:v>-68.224016945229323</c:v>
                </c:pt>
                <c:pt idx="63">
                  <c:v>89.787991527385429</c:v>
                </c:pt>
                <c:pt idx="64">
                  <c:v>263.3939957636926</c:v>
                </c:pt>
                <c:pt idx="65">
                  <c:v>23.696997881846301</c:v>
                </c:pt>
                <c:pt idx="66">
                  <c:v>-11.151501059076963</c:v>
                </c:pt>
                <c:pt idx="67">
                  <c:v>-10.775750529538527</c:v>
                </c:pt>
                <c:pt idx="68">
                  <c:v>107.91212473523069</c:v>
                </c:pt>
                <c:pt idx="69">
                  <c:v>-18.543937632384768</c:v>
                </c:pt>
                <c:pt idx="70">
                  <c:v>-49.871968816192293</c:v>
                </c:pt>
                <c:pt idx="71">
                  <c:v>-131.7359844080961</c:v>
                </c:pt>
                <c:pt idx="72">
                  <c:v>-236.46799220404819</c:v>
                </c:pt>
                <c:pt idx="73">
                  <c:v>-292.63399610202396</c:v>
                </c:pt>
                <c:pt idx="74">
                  <c:v>-133.01699805101202</c:v>
                </c:pt>
                <c:pt idx="75">
                  <c:v>224.39150097449419</c:v>
                </c:pt>
                <c:pt idx="76">
                  <c:v>386.99575048724705</c:v>
                </c:pt>
                <c:pt idx="77">
                  <c:v>-24.002124756376588</c:v>
                </c:pt>
                <c:pt idx="78">
                  <c:v>34.598937621811501</c:v>
                </c:pt>
                <c:pt idx="79">
                  <c:v>140.399468810906</c:v>
                </c:pt>
                <c:pt idx="80">
                  <c:v>118.99973440545295</c:v>
                </c:pt>
                <c:pt idx="81">
                  <c:v>58.399867202726455</c:v>
                </c:pt>
                <c:pt idx="82">
                  <c:v>72.799933601363364</c:v>
                </c:pt>
                <c:pt idx="83">
                  <c:v>43.899966800681568</c:v>
                </c:pt>
                <c:pt idx="84">
                  <c:v>40.849983400340534</c:v>
                </c:pt>
                <c:pt idx="85">
                  <c:v>43.524991700170403</c:v>
                </c:pt>
                <c:pt idx="86">
                  <c:v>16.462495850085361</c:v>
                </c:pt>
                <c:pt idx="87">
                  <c:v>16.131247925042544</c:v>
                </c:pt>
                <c:pt idx="88">
                  <c:v>20.565623962521158</c:v>
                </c:pt>
                <c:pt idx="89">
                  <c:v>-125.21718801873953</c:v>
                </c:pt>
                <c:pt idx="90">
                  <c:v>66.091405990630392</c:v>
                </c:pt>
                <c:pt idx="91">
                  <c:v>13.645702995315105</c:v>
                </c:pt>
                <c:pt idx="92">
                  <c:v>20.922851497657803</c:v>
                </c:pt>
                <c:pt idx="93">
                  <c:v>29.76142574882897</c:v>
                </c:pt>
                <c:pt idx="94">
                  <c:v>4.1807128744144393</c:v>
                </c:pt>
                <c:pt idx="95">
                  <c:v>-88.609643562792826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F2-9C49-B6A0-CEEC02E0D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697663"/>
        <c:axId val="383284015"/>
      </c:scatterChart>
      <c:valAx>
        <c:axId val="80569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284015"/>
        <c:crosses val="autoZero"/>
        <c:crossBetween val="midCat"/>
      </c:valAx>
      <c:valAx>
        <c:axId val="38328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69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Correlogram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acf</c:v>
          </c:tx>
          <c:invertIfNegative val="0"/>
          <c:cat>
            <c:numRef>
              <c:f>'Exercise 1 SES'!$O$11:$O$35</c:f>
              <c:numCache>
                <c:formatCode>General</c:formatCode>
                <c:ptCount val="25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'Exercise 1 SES'!$P$11:$P$35</c:f>
              <c:numCache>
                <c:formatCode>General</c:formatCode>
                <c:ptCount val="25"/>
                <c:pt idx="1">
                  <c:v>0.22233830407822958</c:v>
                </c:pt>
                <c:pt idx="2">
                  <c:v>-0.10629347385870271</c:v>
                </c:pt>
                <c:pt idx="3">
                  <c:v>-0.18586777324061587</c:v>
                </c:pt>
                <c:pt idx="4">
                  <c:v>-2.2048552382156104E-2</c:v>
                </c:pt>
                <c:pt idx="5">
                  <c:v>3.1326702841255209E-2</c:v>
                </c:pt>
                <c:pt idx="6">
                  <c:v>3.3306872339916242E-2</c:v>
                </c:pt>
                <c:pt idx="7">
                  <c:v>-0.19882984296959799</c:v>
                </c:pt>
                <c:pt idx="8">
                  <c:v>-0.14880213124158237</c:v>
                </c:pt>
                <c:pt idx="9">
                  <c:v>-0.17196359176253526</c:v>
                </c:pt>
                <c:pt idx="10">
                  <c:v>-5.287988953747657E-2</c:v>
                </c:pt>
                <c:pt idx="11">
                  <c:v>5.6236941607494269E-2</c:v>
                </c:pt>
                <c:pt idx="12">
                  <c:v>0.14632165515199982</c:v>
                </c:pt>
                <c:pt idx="13">
                  <c:v>-9.5701848692118008E-2</c:v>
                </c:pt>
                <c:pt idx="14">
                  <c:v>-0.15498505933784018</c:v>
                </c:pt>
                <c:pt idx="15">
                  <c:v>1.7911267254783509E-3</c:v>
                </c:pt>
                <c:pt idx="16">
                  <c:v>0.16566498914793529</c:v>
                </c:pt>
                <c:pt idx="17">
                  <c:v>0.26352932825922387</c:v>
                </c:pt>
                <c:pt idx="18">
                  <c:v>0.12840605710369932</c:v>
                </c:pt>
                <c:pt idx="19">
                  <c:v>-0.22216339541927446</c:v>
                </c:pt>
                <c:pt idx="20">
                  <c:v>-7.7287088588435568E-2</c:v>
                </c:pt>
                <c:pt idx="21">
                  <c:v>5.6728592517174839E-2</c:v>
                </c:pt>
                <c:pt idx="22">
                  <c:v>8.1890049271328615E-3</c:v>
                </c:pt>
                <c:pt idx="23">
                  <c:v>-9.012067374193888E-3</c:v>
                </c:pt>
                <c:pt idx="24">
                  <c:v>1.7797285541211533E-2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FB-7A41-8D35-015CF1098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6734671"/>
        <c:axId val="1167691487"/>
      </c:barChart>
      <c:lineChart>
        <c:grouping val="standard"/>
        <c:varyColors val="0"/>
        <c:ser>
          <c:idx val="0"/>
          <c:order val="0"/>
          <c:tx>
            <c:strRef>
              <c:f>'Exercise 1 SES'!$Q$10</c:f>
              <c:strCache>
                <c:ptCount val="1"/>
                <c:pt idx="0">
                  <c:v>lower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'Exercise 1 SES'!$O$11:$O$35</c:f>
              <c:numCache>
                <c:formatCode>General</c:formatCode>
                <c:ptCount val="25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'Exercise 1 SES'!$Q$11:$Q$35</c:f>
              <c:numCache>
                <c:formatCode>General</c:formatCode>
                <c:ptCount val="25"/>
                <c:pt idx="1">
                  <c:v>-0.20003798651480456</c:v>
                </c:pt>
                <c:pt idx="2">
                  <c:v>-0.20969369131774088</c:v>
                </c:pt>
                <c:pt idx="3">
                  <c:v>-0.21183873999902172</c:v>
                </c:pt>
                <c:pt idx="4">
                  <c:v>-0.21826691926477659</c:v>
                </c:pt>
                <c:pt idx="5">
                  <c:v>-0.21835602559371281</c:v>
                </c:pt>
                <c:pt idx="6">
                  <c:v>-0.21853579277457921</c:v>
                </c:pt>
                <c:pt idx="7">
                  <c:v>-0.2187388265914956</c:v>
                </c:pt>
                <c:pt idx="8">
                  <c:v>-0.22585513116855571</c:v>
                </c:pt>
                <c:pt idx="9">
                  <c:v>-0.22974459549729309</c:v>
                </c:pt>
                <c:pt idx="10">
                  <c:v>-0.23483865961715542</c:v>
                </c:pt>
                <c:pt idx="11">
                  <c:v>-0.23531464819062936</c:v>
                </c:pt>
                <c:pt idx="12">
                  <c:v>-0.23585183327471262</c:v>
                </c:pt>
                <c:pt idx="13">
                  <c:v>-0.23945676038897665</c:v>
                </c:pt>
                <c:pt idx="14">
                  <c:v>-0.24098241836264456</c:v>
                </c:pt>
                <c:pt idx="15">
                  <c:v>-0.24493853408301652</c:v>
                </c:pt>
                <c:pt idx="16">
                  <c:v>-0.24493905819006234</c:v>
                </c:pt>
                <c:pt idx="17">
                  <c:v>-0.24938237192136248</c:v>
                </c:pt>
                <c:pt idx="18">
                  <c:v>-0.26028733091497869</c:v>
                </c:pt>
                <c:pt idx="19">
                  <c:v>-0.2628099027497553</c:v>
                </c:pt>
                <c:pt idx="20">
                  <c:v>-0.27022041183875317</c:v>
                </c:pt>
                <c:pt idx="21">
                  <c:v>-0.27110351535943017</c:v>
                </c:pt>
                <c:pt idx="22">
                  <c:v>-0.27157810018994238</c:v>
                </c:pt>
                <c:pt idx="23">
                  <c:v>-0.27158798081837526</c:v>
                </c:pt>
                <c:pt idx="24">
                  <c:v>-0.27159994694777945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FB-7A41-8D35-015CF1098BB5}"/>
            </c:ext>
          </c:extLst>
        </c:ser>
        <c:ser>
          <c:idx val="1"/>
          <c:order val="1"/>
          <c:tx>
            <c:strRef>
              <c:f>'Exercise 1 SES'!$R$10</c:f>
              <c:strCache>
                <c:ptCount val="1"/>
                <c:pt idx="0">
                  <c:v>upper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val>
            <c:numRef>
              <c:f>'Exercise 1 SES'!$R$11:$R$35</c:f>
              <c:numCache>
                <c:formatCode>General</c:formatCode>
                <c:ptCount val="25"/>
                <c:pt idx="1">
                  <c:v>0.20003798651480456</c:v>
                </c:pt>
                <c:pt idx="2">
                  <c:v>0.20969369131774088</c:v>
                </c:pt>
                <c:pt idx="3">
                  <c:v>0.21183873999902172</c:v>
                </c:pt>
                <c:pt idx="4">
                  <c:v>0.21826691926477659</c:v>
                </c:pt>
                <c:pt idx="5">
                  <c:v>0.21835602559371281</c:v>
                </c:pt>
                <c:pt idx="6">
                  <c:v>0.21853579277457921</c:v>
                </c:pt>
                <c:pt idx="7">
                  <c:v>0.2187388265914956</c:v>
                </c:pt>
                <c:pt idx="8">
                  <c:v>0.22585513116855571</c:v>
                </c:pt>
                <c:pt idx="9">
                  <c:v>0.22974459549729309</c:v>
                </c:pt>
                <c:pt idx="10">
                  <c:v>0.23483865961715542</c:v>
                </c:pt>
                <c:pt idx="11">
                  <c:v>0.23531464819062936</c:v>
                </c:pt>
                <c:pt idx="12">
                  <c:v>0.23585183327471262</c:v>
                </c:pt>
                <c:pt idx="13">
                  <c:v>0.23945676038897665</c:v>
                </c:pt>
                <c:pt idx="14">
                  <c:v>0.24098241836264456</c:v>
                </c:pt>
                <c:pt idx="15">
                  <c:v>0.24493853408301652</c:v>
                </c:pt>
                <c:pt idx="16">
                  <c:v>0.24493905819006234</c:v>
                </c:pt>
                <c:pt idx="17">
                  <c:v>0.24938237192136248</c:v>
                </c:pt>
                <c:pt idx="18">
                  <c:v>0.26028733091497869</c:v>
                </c:pt>
                <c:pt idx="19">
                  <c:v>0.2628099027497553</c:v>
                </c:pt>
                <c:pt idx="20">
                  <c:v>0.27022041183875317</c:v>
                </c:pt>
                <c:pt idx="21">
                  <c:v>0.27110351535943017</c:v>
                </c:pt>
                <c:pt idx="22">
                  <c:v>0.27157810018994238</c:v>
                </c:pt>
                <c:pt idx="23">
                  <c:v>0.27158798081837526</c:v>
                </c:pt>
                <c:pt idx="24">
                  <c:v>0.27159994694777945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FB-7A41-8D35-015CF1098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6734671"/>
        <c:axId val="1167691487"/>
      </c:lineChart>
      <c:catAx>
        <c:axId val="996734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7691487"/>
        <c:crosses val="autoZero"/>
        <c:auto val="1"/>
        <c:lblAlgn val="ctr"/>
        <c:lblOffset val="100"/>
        <c:noMultiLvlLbl val="0"/>
      </c:catAx>
      <c:valAx>
        <c:axId val="11676914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96734671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Actual data (July 2015 - June 2023) vs. Within and Out-of-sample Forecast for Total State Department Stores Turnover (Seasonally-Adjusted Data)</a:t>
            </a:r>
            <a:endParaRPr lang="en-GB" sz="1400" b="0" i="0" u="none" strike="noStrike" kern="1200" cap="none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'Exercise 1 SES'!$B$1</c:f>
              <c:strCache>
                <c:ptCount val="1"/>
                <c:pt idx="0">
                  <c:v>Total (State) Department stores Turnover in $ millions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'Exercise 1 SES'!$A$2:$A$109</c:f>
              <c:numCache>
                <c:formatCode>mmm\-yyyy</c:formatCode>
                <c:ptCount val="108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</c:numCache>
            </c:numRef>
          </c:cat>
          <c:val>
            <c:numRef>
              <c:f>'Exercise 1 SES'!$B$2:$B$109</c:f>
              <c:numCache>
                <c:formatCode>0.0;\-0.0;0.0;@</c:formatCode>
                <c:ptCount val="108"/>
                <c:pt idx="0">
                  <c:v>1585.7</c:v>
                </c:pt>
                <c:pt idx="1">
                  <c:v>1586.3</c:v>
                </c:pt>
                <c:pt idx="2">
                  <c:v>1541.9</c:v>
                </c:pt>
                <c:pt idx="3">
                  <c:v>1591.9</c:v>
                </c:pt>
                <c:pt idx="4">
                  <c:v>1590</c:v>
                </c:pt>
                <c:pt idx="5">
                  <c:v>1592.5</c:v>
                </c:pt>
                <c:pt idx="6">
                  <c:v>1610.3</c:v>
                </c:pt>
                <c:pt idx="7">
                  <c:v>1591.6</c:v>
                </c:pt>
                <c:pt idx="8">
                  <c:v>1584.6</c:v>
                </c:pt>
                <c:pt idx="9">
                  <c:v>1580.8</c:v>
                </c:pt>
                <c:pt idx="10">
                  <c:v>1567.4</c:v>
                </c:pt>
                <c:pt idx="11">
                  <c:v>1582.1</c:v>
                </c:pt>
                <c:pt idx="12">
                  <c:v>1537.2</c:v>
                </c:pt>
                <c:pt idx="13">
                  <c:v>1541.6</c:v>
                </c:pt>
                <c:pt idx="14">
                  <c:v>1537.8</c:v>
                </c:pt>
                <c:pt idx="15">
                  <c:v>1536.8</c:v>
                </c:pt>
                <c:pt idx="16">
                  <c:v>1524.3</c:v>
                </c:pt>
                <c:pt idx="17">
                  <c:v>1550.1</c:v>
                </c:pt>
                <c:pt idx="18">
                  <c:v>1554.7</c:v>
                </c:pt>
                <c:pt idx="19">
                  <c:v>1542.9</c:v>
                </c:pt>
                <c:pt idx="20">
                  <c:v>1545.1</c:v>
                </c:pt>
                <c:pt idx="21">
                  <c:v>1604.2</c:v>
                </c:pt>
                <c:pt idx="22">
                  <c:v>1550.6</c:v>
                </c:pt>
                <c:pt idx="23">
                  <c:v>1548.7</c:v>
                </c:pt>
                <c:pt idx="24">
                  <c:v>1541.7</c:v>
                </c:pt>
                <c:pt idx="25">
                  <c:v>1519.8</c:v>
                </c:pt>
                <c:pt idx="26">
                  <c:v>1557.1</c:v>
                </c:pt>
                <c:pt idx="27">
                  <c:v>1566.8</c:v>
                </c:pt>
                <c:pt idx="28">
                  <c:v>1536.8</c:v>
                </c:pt>
                <c:pt idx="29">
                  <c:v>1553.1</c:v>
                </c:pt>
                <c:pt idx="30">
                  <c:v>1544.7</c:v>
                </c:pt>
                <c:pt idx="31">
                  <c:v>1547.5</c:v>
                </c:pt>
                <c:pt idx="32">
                  <c:v>1548.6</c:v>
                </c:pt>
                <c:pt idx="33">
                  <c:v>1542.1</c:v>
                </c:pt>
                <c:pt idx="34">
                  <c:v>1588.6</c:v>
                </c:pt>
                <c:pt idx="35">
                  <c:v>1577.2</c:v>
                </c:pt>
                <c:pt idx="36">
                  <c:v>1540.7</c:v>
                </c:pt>
                <c:pt idx="37">
                  <c:v>1554.6</c:v>
                </c:pt>
                <c:pt idx="38">
                  <c:v>1560</c:v>
                </c:pt>
                <c:pt idx="39">
                  <c:v>1565.6</c:v>
                </c:pt>
                <c:pt idx="40">
                  <c:v>1537.1</c:v>
                </c:pt>
                <c:pt idx="41">
                  <c:v>1567.6</c:v>
                </c:pt>
                <c:pt idx="42">
                  <c:v>1540.1</c:v>
                </c:pt>
                <c:pt idx="43">
                  <c:v>1566.3</c:v>
                </c:pt>
                <c:pt idx="44">
                  <c:v>1535.7</c:v>
                </c:pt>
                <c:pt idx="45">
                  <c:v>1565.8</c:v>
                </c:pt>
                <c:pt idx="46">
                  <c:v>1575.7</c:v>
                </c:pt>
                <c:pt idx="47">
                  <c:v>1570</c:v>
                </c:pt>
                <c:pt idx="48">
                  <c:v>1548.9</c:v>
                </c:pt>
                <c:pt idx="49">
                  <c:v>1575.1</c:v>
                </c:pt>
                <c:pt idx="50">
                  <c:v>1576.2</c:v>
                </c:pt>
                <c:pt idx="51">
                  <c:v>1571.7</c:v>
                </c:pt>
                <c:pt idx="52">
                  <c:v>1580.8</c:v>
                </c:pt>
                <c:pt idx="53">
                  <c:v>1590.7</c:v>
                </c:pt>
                <c:pt idx="54">
                  <c:v>1566.5</c:v>
                </c:pt>
                <c:pt idx="55">
                  <c:v>1587.1</c:v>
                </c:pt>
                <c:pt idx="56">
                  <c:v>1426.1</c:v>
                </c:pt>
                <c:pt idx="57">
                  <c:v>1241.5999999999999</c:v>
                </c:pt>
                <c:pt idx="58">
                  <c:v>1751.8</c:v>
                </c:pt>
                <c:pt idx="59">
                  <c:v>1574.8</c:v>
                </c:pt>
                <c:pt idx="60">
                  <c:v>1630.6</c:v>
                </c:pt>
                <c:pt idx="61">
                  <c:v>1470.1</c:v>
                </c:pt>
                <c:pt idx="62">
                  <c:v>1466.6</c:v>
                </c:pt>
                <c:pt idx="63">
                  <c:v>1590.5</c:v>
                </c:pt>
                <c:pt idx="64">
                  <c:v>1809</c:v>
                </c:pt>
                <c:pt idx="65">
                  <c:v>1701</c:v>
                </c:pt>
                <c:pt idx="66">
                  <c:v>1678</c:v>
                </c:pt>
                <c:pt idx="67">
                  <c:v>1672.8</c:v>
                </c:pt>
                <c:pt idx="68">
                  <c:v>1786.1</c:v>
                </c:pt>
                <c:pt idx="69">
                  <c:v>1713.6</c:v>
                </c:pt>
                <c:pt idx="70">
                  <c:v>1673</c:v>
                </c:pt>
                <c:pt idx="71">
                  <c:v>1566.2</c:v>
                </c:pt>
                <c:pt idx="72">
                  <c:v>1395.6</c:v>
                </c:pt>
                <c:pt idx="73">
                  <c:v>1221.2</c:v>
                </c:pt>
                <c:pt idx="74">
                  <c:v>1234.5</c:v>
                </c:pt>
                <c:pt idx="75">
                  <c:v>1525.4</c:v>
                </c:pt>
                <c:pt idx="76">
                  <c:v>1800.2</c:v>
                </c:pt>
                <c:pt idx="77">
                  <c:v>1582.7</c:v>
                </c:pt>
                <c:pt idx="78">
                  <c:v>1629.3</c:v>
                </c:pt>
                <c:pt idx="79">
                  <c:v>1752.4</c:v>
                </c:pt>
                <c:pt idx="80">
                  <c:v>1801.2</c:v>
                </c:pt>
                <c:pt idx="81">
                  <c:v>1800.1</c:v>
                </c:pt>
                <c:pt idx="82">
                  <c:v>1843.7</c:v>
                </c:pt>
                <c:pt idx="83">
                  <c:v>1851.2</c:v>
                </c:pt>
                <c:pt idx="84">
                  <c:v>1870.1</c:v>
                </c:pt>
                <c:pt idx="85">
                  <c:v>1893.2</c:v>
                </c:pt>
                <c:pt idx="86">
                  <c:v>1887.9</c:v>
                </c:pt>
                <c:pt idx="87">
                  <c:v>1895.8</c:v>
                </c:pt>
                <c:pt idx="88">
                  <c:v>1908.3</c:v>
                </c:pt>
                <c:pt idx="89">
                  <c:v>1772.8</c:v>
                </c:pt>
                <c:pt idx="90">
                  <c:v>1901.5</c:v>
                </c:pt>
                <c:pt idx="91">
                  <c:v>1882.1</c:v>
                </c:pt>
                <c:pt idx="92">
                  <c:v>1896.2</c:v>
                </c:pt>
                <c:pt idx="93">
                  <c:v>1915.5</c:v>
                </c:pt>
                <c:pt idx="94">
                  <c:v>1904.8</c:v>
                </c:pt>
                <c:pt idx="95">
                  <c:v>1814.1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9-0D41-972F-A010A2B840AE}"/>
            </c:ext>
          </c:extLst>
        </c:ser>
        <c:ser>
          <c:idx val="1"/>
          <c:order val="1"/>
          <c:tx>
            <c:strRef>
              <c:f>'Exercise 1 SES'!$C$1</c:f>
              <c:strCache>
                <c:ptCount val="1"/>
                <c:pt idx="0">
                  <c:v>Within Sample Forecast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'Exercise 1 SES'!$A$2:$A$109</c:f>
              <c:numCache>
                <c:formatCode>mmm\-yyyy</c:formatCode>
                <c:ptCount val="108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</c:numCache>
            </c:numRef>
          </c:cat>
          <c:val>
            <c:numRef>
              <c:f>'Exercise 1 SES'!$C$2:$C$109</c:f>
              <c:numCache>
                <c:formatCode>0.00;\-0.00;0.00;@</c:formatCode>
                <c:ptCount val="108"/>
                <c:pt idx="0">
                  <c:v>1585.7</c:v>
                </c:pt>
                <c:pt idx="1">
                  <c:v>1585.7</c:v>
                </c:pt>
                <c:pt idx="2">
                  <c:v>1586</c:v>
                </c:pt>
                <c:pt idx="3">
                  <c:v>1563.95</c:v>
                </c:pt>
                <c:pt idx="4">
                  <c:v>1577.9250000000002</c:v>
                </c:pt>
                <c:pt idx="5">
                  <c:v>1583.9625000000001</c:v>
                </c:pt>
                <c:pt idx="6">
                  <c:v>1588.23125</c:v>
                </c:pt>
                <c:pt idx="7">
                  <c:v>1599.265625</c:v>
                </c:pt>
                <c:pt idx="8">
                  <c:v>1595.4328125</c:v>
                </c:pt>
                <c:pt idx="9">
                  <c:v>1590.0164062499998</c:v>
                </c:pt>
                <c:pt idx="10">
                  <c:v>1585.408203125</c:v>
                </c:pt>
                <c:pt idx="11">
                  <c:v>1576.4041015625</c:v>
                </c:pt>
                <c:pt idx="12">
                  <c:v>1579.2520507812501</c:v>
                </c:pt>
                <c:pt idx="13">
                  <c:v>1558.2260253906252</c:v>
                </c:pt>
                <c:pt idx="14">
                  <c:v>1549.9130126953125</c:v>
                </c:pt>
                <c:pt idx="15">
                  <c:v>1543.8565063476562</c:v>
                </c:pt>
                <c:pt idx="16">
                  <c:v>1540.3282531738282</c:v>
                </c:pt>
                <c:pt idx="17">
                  <c:v>1532.314126586914</c:v>
                </c:pt>
                <c:pt idx="18">
                  <c:v>1541.2070632934569</c:v>
                </c:pt>
                <c:pt idx="19">
                  <c:v>1547.9535316467286</c:v>
                </c:pt>
                <c:pt idx="20">
                  <c:v>1545.4267658233643</c:v>
                </c:pt>
                <c:pt idx="21">
                  <c:v>1545.2633829116821</c:v>
                </c:pt>
                <c:pt idx="22">
                  <c:v>1574.731691455841</c:v>
                </c:pt>
                <c:pt idx="23">
                  <c:v>1562.6658457279204</c:v>
                </c:pt>
                <c:pt idx="24">
                  <c:v>1555.6829228639604</c:v>
                </c:pt>
                <c:pt idx="25">
                  <c:v>1548.6914614319803</c:v>
                </c:pt>
                <c:pt idx="26">
                  <c:v>1534.2457307159902</c:v>
                </c:pt>
                <c:pt idx="27">
                  <c:v>1545.6728653579951</c:v>
                </c:pt>
                <c:pt idx="28">
                  <c:v>1556.2364326789975</c:v>
                </c:pt>
                <c:pt idx="29">
                  <c:v>1546.5182163394988</c:v>
                </c:pt>
                <c:pt idx="30">
                  <c:v>1549.8091081697494</c:v>
                </c:pt>
                <c:pt idx="31">
                  <c:v>1547.2545540848746</c:v>
                </c:pt>
                <c:pt idx="32">
                  <c:v>1547.3772770424373</c:v>
                </c:pt>
                <c:pt idx="33">
                  <c:v>1547.9886385212185</c:v>
                </c:pt>
                <c:pt idx="34">
                  <c:v>1545.0443192606092</c:v>
                </c:pt>
                <c:pt idx="35">
                  <c:v>1566.8221596303047</c:v>
                </c:pt>
                <c:pt idx="36">
                  <c:v>1572.0110798151522</c:v>
                </c:pt>
                <c:pt idx="37">
                  <c:v>1556.3555399075763</c:v>
                </c:pt>
                <c:pt idx="38">
                  <c:v>1555.4777699537881</c:v>
                </c:pt>
                <c:pt idx="39">
                  <c:v>1557.738884976894</c:v>
                </c:pt>
                <c:pt idx="40">
                  <c:v>1561.669442488447</c:v>
                </c:pt>
                <c:pt idx="41">
                  <c:v>1549.3847212442233</c:v>
                </c:pt>
                <c:pt idx="42">
                  <c:v>1558.4923606221116</c:v>
                </c:pt>
                <c:pt idx="43">
                  <c:v>1549.2961803110557</c:v>
                </c:pt>
                <c:pt idx="44">
                  <c:v>1557.7980901555279</c:v>
                </c:pt>
                <c:pt idx="45">
                  <c:v>1546.7490450777641</c:v>
                </c:pt>
                <c:pt idx="46">
                  <c:v>1556.2745225388821</c:v>
                </c:pt>
                <c:pt idx="47">
                  <c:v>1565.9872612694412</c:v>
                </c:pt>
                <c:pt idx="48">
                  <c:v>1567.9936306347206</c:v>
                </c:pt>
                <c:pt idx="49">
                  <c:v>1558.4468153173602</c:v>
                </c:pt>
                <c:pt idx="50">
                  <c:v>1566.7734076586801</c:v>
                </c:pt>
                <c:pt idx="51">
                  <c:v>1571.4867038293401</c:v>
                </c:pt>
                <c:pt idx="52">
                  <c:v>1571.5933519146702</c:v>
                </c:pt>
                <c:pt idx="53">
                  <c:v>1576.1966759573352</c:v>
                </c:pt>
                <c:pt idx="54">
                  <c:v>1583.4483379786675</c:v>
                </c:pt>
                <c:pt idx="55">
                  <c:v>1574.9741689893337</c:v>
                </c:pt>
                <c:pt idx="56">
                  <c:v>1581.0370844946669</c:v>
                </c:pt>
                <c:pt idx="57">
                  <c:v>1503.5685422473334</c:v>
                </c:pt>
                <c:pt idx="58">
                  <c:v>1372.5842711236667</c:v>
                </c:pt>
                <c:pt idx="59">
                  <c:v>1562.1921355618333</c:v>
                </c:pt>
                <c:pt idx="60">
                  <c:v>1568.4960677809167</c:v>
                </c:pt>
                <c:pt idx="61">
                  <c:v>1599.5480338904583</c:v>
                </c:pt>
                <c:pt idx="62">
                  <c:v>1534.8240169452292</c:v>
                </c:pt>
                <c:pt idx="63">
                  <c:v>1500.7120084726146</c:v>
                </c:pt>
                <c:pt idx="64">
                  <c:v>1545.6060042363074</c:v>
                </c:pt>
                <c:pt idx="65">
                  <c:v>1677.3030021181537</c:v>
                </c:pt>
                <c:pt idx="66">
                  <c:v>1689.151501059077</c:v>
                </c:pt>
                <c:pt idx="67">
                  <c:v>1683.5757505295385</c:v>
                </c:pt>
                <c:pt idx="68">
                  <c:v>1678.1878752647692</c:v>
                </c:pt>
                <c:pt idx="69">
                  <c:v>1732.1439376323847</c:v>
                </c:pt>
                <c:pt idx="70">
                  <c:v>1722.8719688161923</c:v>
                </c:pt>
                <c:pt idx="71">
                  <c:v>1697.9359844080961</c:v>
                </c:pt>
                <c:pt idx="72">
                  <c:v>1632.0679922040481</c:v>
                </c:pt>
                <c:pt idx="73">
                  <c:v>1513.833996102024</c:v>
                </c:pt>
                <c:pt idx="74">
                  <c:v>1367.516998051012</c:v>
                </c:pt>
                <c:pt idx="75">
                  <c:v>1301.0084990255059</c:v>
                </c:pt>
                <c:pt idx="76">
                  <c:v>1413.204249512753</c:v>
                </c:pt>
                <c:pt idx="77">
                  <c:v>1606.7021247563766</c:v>
                </c:pt>
                <c:pt idx="78">
                  <c:v>1594.7010623781885</c:v>
                </c:pt>
                <c:pt idx="79">
                  <c:v>1612.0005311890941</c:v>
                </c:pt>
                <c:pt idx="80">
                  <c:v>1682.2002655945471</c:v>
                </c:pt>
                <c:pt idx="81">
                  <c:v>1741.7001327972735</c:v>
                </c:pt>
                <c:pt idx="82">
                  <c:v>1770.9000663986367</c:v>
                </c:pt>
                <c:pt idx="83">
                  <c:v>1807.3000331993185</c:v>
                </c:pt>
                <c:pt idx="84">
                  <c:v>1829.2500165996594</c:v>
                </c:pt>
                <c:pt idx="85">
                  <c:v>1849.6750082998296</c:v>
                </c:pt>
                <c:pt idx="86">
                  <c:v>1871.4375041499147</c:v>
                </c:pt>
                <c:pt idx="87">
                  <c:v>1879.6687520749574</c:v>
                </c:pt>
                <c:pt idx="88">
                  <c:v>1887.7343760374788</c:v>
                </c:pt>
                <c:pt idx="89">
                  <c:v>1898.0171880187395</c:v>
                </c:pt>
                <c:pt idx="90">
                  <c:v>1835.4085940093696</c:v>
                </c:pt>
                <c:pt idx="91">
                  <c:v>1868.4542970046848</c:v>
                </c:pt>
                <c:pt idx="92">
                  <c:v>1875.2771485023422</c:v>
                </c:pt>
                <c:pt idx="93">
                  <c:v>1885.738574251171</c:v>
                </c:pt>
                <c:pt idx="94">
                  <c:v>1900.6192871255855</c:v>
                </c:pt>
                <c:pt idx="95">
                  <c:v>1902.7096435627927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9-0D41-972F-A010A2B840AE}"/>
            </c:ext>
          </c:extLst>
        </c:ser>
        <c:ser>
          <c:idx val="2"/>
          <c:order val="2"/>
          <c:tx>
            <c:strRef>
              <c:f>'Exercise 1 SES'!$D$1</c:f>
              <c:strCache>
                <c:ptCount val="1"/>
                <c:pt idx="0">
                  <c:v>Out-of-sample Forecast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'Exercise 1 SES'!$A$2:$A$109</c:f>
              <c:numCache>
                <c:formatCode>mmm\-yyyy</c:formatCode>
                <c:ptCount val="108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</c:numCache>
            </c:numRef>
          </c:cat>
          <c:val>
            <c:numRef>
              <c:f>'Exercise 1 SES'!$D$2:$D$109</c:f>
              <c:numCache>
                <c:formatCode>0.00;\-0.00;0.00;@</c:formatCode>
                <c:ptCount val="108"/>
                <c:pt idx="95">
                  <c:v>1902.7096435627927</c:v>
                </c:pt>
                <c:pt idx="96">
                  <c:v>1858.4048217813963</c:v>
                </c:pt>
                <c:pt idx="97">
                  <c:v>1858.4048217813963</c:v>
                </c:pt>
                <c:pt idx="98">
                  <c:v>1858.4048217813963</c:v>
                </c:pt>
                <c:pt idx="99">
                  <c:v>1858.4048217813963</c:v>
                </c:pt>
                <c:pt idx="100">
                  <c:v>1858.4048217813963</c:v>
                </c:pt>
                <c:pt idx="101">
                  <c:v>1858.4048217813963</c:v>
                </c:pt>
                <c:pt idx="102">
                  <c:v>1858.4048217813963</c:v>
                </c:pt>
                <c:pt idx="103">
                  <c:v>1858.4048217813963</c:v>
                </c:pt>
                <c:pt idx="104">
                  <c:v>1858.4048217813963</c:v>
                </c:pt>
                <c:pt idx="105">
                  <c:v>1858.4048217813963</c:v>
                </c:pt>
                <c:pt idx="106">
                  <c:v>1858.4048217813963</c:v>
                </c:pt>
                <c:pt idx="107">
                  <c:v>1858.4048217813963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9-0D41-972F-A010A2B84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363426688"/>
        <c:axId val="1363478800"/>
      </c:lineChart>
      <c:dateAx>
        <c:axId val="1363426688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478800"/>
        <c:crosses val="autoZero"/>
        <c:auto val="1"/>
        <c:lblOffset val="100"/>
        <c:baseTimeUnit val="months"/>
      </c:dateAx>
      <c:valAx>
        <c:axId val="1363478800"/>
        <c:scaling>
          <c:orientation val="minMax"/>
        </c:scaling>
        <c:delete val="0"/>
        <c:axPos val="l"/>
        <c:numFmt formatCode="0.0;\-0.0;0.0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42668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Correlogram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acf</c:v>
          </c:tx>
          <c:invertIfNegative val="0"/>
          <c:cat>
            <c:numRef>
              <c:f>'Exercise 1 SES (Optimised)'!$O$11:$O$35</c:f>
              <c:numCache>
                <c:formatCode>General</c:formatCode>
                <c:ptCount val="25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'Exercise 1 SES (Optimised)'!$P$11:$P$35</c:f>
              <c:numCache>
                <c:formatCode>General</c:formatCode>
                <c:ptCount val="25"/>
                <c:pt idx="1">
                  <c:v>6.7902024995110027E-2</c:v>
                </c:pt>
                <c:pt idx="2">
                  <c:v>-0.17926558468915035</c:v>
                </c:pt>
                <c:pt idx="3">
                  <c:v>-0.20560400961089559</c:v>
                </c:pt>
                <c:pt idx="4">
                  <c:v>5.4387843870096529E-3</c:v>
                </c:pt>
                <c:pt idx="5">
                  <c:v>5.577833267531862E-2</c:v>
                </c:pt>
                <c:pt idx="6">
                  <c:v>8.1682973134980089E-2</c:v>
                </c:pt>
                <c:pt idx="7">
                  <c:v>-0.1777170480782844</c:v>
                </c:pt>
                <c:pt idx="8">
                  <c:v>-8.7361654894094684E-2</c:v>
                </c:pt>
                <c:pt idx="9">
                  <c:v>-0.13887383684492108</c:v>
                </c:pt>
                <c:pt idx="10">
                  <c:v>-2.8441308107169189E-2</c:v>
                </c:pt>
                <c:pt idx="11">
                  <c:v>6.2561108279294758E-2</c:v>
                </c:pt>
                <c:pt idx="12">
                  <c:v>0.17770601867929398</c:v>
                </c:pt>
                <c:pt idx="13">
                  <c:v>-0.10663176932149585</c:v>
                </c:pt>
                <c:pt idx="14">
                  <c:v>-0.17166885109632232</c:v>
                </c:pt>
                <c:pt idx="15">
                  <c:v>-1.422267878661255E-2</c:v>
                </c:pt>
                <c:pt idx="16">
                  <c:v>0.12997512534960629</c:v>
                </c:pt>
                <c:pt idx="17">
                  <c:v>0.23772059963323283</c:v>
                </c:pt>
                <c:pt idx="18">
                  <c:v>0.12257368300868764</c:v>
                </c:pt>
                <c:pt idx="19">
                  <c:v>-0.26589452651277801</c:v>
                </c:pt>
                <c:pt idx="20">
                  <c:v>-7.1095377185682873E-2</c:v>
                </c:pt>
                <c:pt idx="21">
                  <c:v>7.4784652522171854E-2</c:v>
                </c:pt>
                <c:pt idx="22">
                  <c:v>4.8647596959541881E-3</c:v>
                </c:pt>
                <c:pt idx="23">
                  <c:v>-8.6506998063480105E-3</c:v>
                </c:pt>
                <c:pt idx="24">
                  <c:v>3.3293863067989267E-2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9B-5D44-9BF7-2090D36F1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7567216"/>
        <c:axId val="1628547936"/>
      </c:barChart>
      <c:lineChart>
        <c:grouping val="standard"/>
        <c:varyColors val="0"/>
        <c:ser>
          <c:idx val="0"/>
          <c:order val="0"/>
          <c:tx>
            <c:strRef>
              <c:f>'Exercise 1 SES (Optimised)'!$Q$10</c:f>
              <c:strCache>
                <c:ptCount val="1"/>
                <c:pt idx="0">
                  <c:v>lower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'Exercise 1 SES (Optimised)'!$O$11:$O$35</c:f>
              <c:numCache>
                <c:formatCode>General</c:formatCode>
                <c:ptCount val="25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'Exercise 1 SES (Optimised)'!$Q$11:$Q$35</c:f>
              <c:numCache>
                <c:formatCode>General</c:formatCode>
                <c:ptCount val="25"/>
                <c:pt idx="1">
                  <c:v>-0.20003798651480456</c:v>
                </c:pt>
                <c:pt idx="2">
                  <c:v>-0.20095818216027286</c:v>
                </c:pt>
                <c:pt idx="3">
                  <c:v>-0.2072584368620152</c:v>
                </c:pt>
                <c:pt idx="4">
                  <c:v>-0.21526538299816964</c:v>
                </c:pt>
                <c:pt idx="5">
                  <c:v>-0.21527088155718363</c:v>
                </c:pt>
                <c:pt idx="6">
                  <c:v>-0.2158484301417673</c:v>
                </c:pt>
                <c:pt idx="7">
                  <c:v>-0.21708181918815972</c:v>
                </c:pt>
                <c:pt idx="8">
                  <c:v>-0.22282761058829867</c:v>
                </c:pt>
                <c:pt idx="9">
                  <c:v>-0.22419398005841515</c:v>
                </c:pt>
                <c:pt idx="10">
                  <c:v>-0.22761019801293564</c:v>
                </c:pt>
                <c:pt idx="11">
                  <c:v>-0.22775236434436144</c:v>
                </c:pt>
                <c:pt idx="12">
                  <c:v>-0.22843898484578776</c:v>
                </c:pt>
                <c:pt idx="13">
                  <c:v>-0.23390528828664486</c:v>
                </c:pt>
                <c:pt idx="14">
                  <c:v>-0.23584243934258076</c:v>
                </c:pt>
                <c:pt idx="15">
                  <c:v>-0.24079071288367565</c:v>
                </c:pt>
                <c:pt idx="16">
                  <c:v>-0.24082432669111981</c:v>
                </c:pt>
                <c:pt idx="17">
                  <c:v>-0.24361517278879871</c:v>
                </c:pt>
                <c:pt idx="18">
                  <c:v>-0.25272703967421223</c:v>
                </c:pt>
                <c:pt idx="19">
                  <c:v>-0.25509480164054094</c:v>
                </c:pt>
                <c:pt idx="20">
                  <c:v>-0.26595394052473581</c:v>
                </c:pt>
                <c:pt idx="21">
                  <c:v>-0.26671335982973804</c:v>
                </c:pt>
                <c:pt idx="22">
                  <c:v>-0.26755112750113119</c:v>
                </c:pt>
                <c:pt idx="23">
                  <c:v>-0.26755466696982588</c:v>
                </c:pt>
                <c:pt idx="24">
                  <c:v>-0.26756585892128742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9B-5D44-9BF7-2090D36F1531}"/>
            </c:ext>
          </c:extLst>
        </c:ser>
        <c:ser>
          <c:idx val="1"/>
          <c:order val="1"/>
          <c:tx>
            <c:strRef>
              <c:f>'Exercise 1 SES (Optimised)'!$R$10</c:f>
              <c:strCache>
                <c:ptCount val="1"/>
                <c:pt idx="0">
                  <c:v>upper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val>
            <c:numRef>
              <c:f>'Exercise 1 SES (Optimised)'!$R$11:$R$35</c:f>
              <c:numCache>
                <c:formatCode>General</c:formatCode>
                <c:ptCount val="25"/>
                <c:pt idx="1">
                  <c:v>0.20003798651480456</c:v>
                </c:pt>
                <c:pt idx="2">
                  <c:v>0.20095818216027286</c:v>
                </c:pt>
                <c:pt idx="3">
                  <c:v>0.2072584368620152</c:v>
                </c:pt>
                <c:pt idx="4">
                  <c:v>0.21526538299816964</c:v>
                </c:pt>
                <c:pt idx="5">
                  <c:v>0.21527088155718363</c:v>
                </c:pt>
                <c:pt idx="6">
                  <c:v>0.2158484301417673</c:v>
                </c:pt>
                <c:pt idx="7">
                  <c:v>0.21708181918815972</c:v>
                </c:pt>
                <c:pt idx="8">
                  <c:v>0.22282761058829867</c:v>
                </c:pt>
                <c:pt idx="9">
                  <c:v>0.22419398005841515</c:v>
                </c:pt>
                <c:pt idx="10">
                  <c:v>0.22761019801293564</c:v>
                </c:pt>
                <c:pt idx="11">
                  <c:v>0.22775236434436144</c:v>
                </c:pt>
                <c:pt idx="12">
                  <c:v>0.22843898484578776</c:v>
                </c:pt>
                <c:pt idx="13">
                  <c:v>0.23390528828664486</c:v>
                </c:pt>
                <c:pt idx="14">
                  <c:v>0.23584243934258076</c:v>
                </c:pt>
                <c:pt idx="15">
                  <c:v>0.24079071288367565</c:v>
                </c:pt>
                <c:pt idx="16">
                  <c:v>0.24082432669111981</c:v>
                </c:pt>
                <c:pt idx="17">
                  <c:v>0.24361517278879871</c:v>
                </c:pt>
                <c:pt idx="18">
                  <c:v>0.25272703967421223</c:v>
                </c:pt>
                <c:pt idx="19">
                  <c:v>0.25509480164054094</c:v>
                </c:pt>
                <c:pt idx="20">
                  <c:v>0.26595394052473581</c:v>
                </c:pt>
                <c:pt idx="21">
                  <c:v>0.26671335982973804</c:v>
                </c:pt>
                <c:pt idx="22">
                  <c:v>0.26755112750113119</c:v>
                </c:pt>
                <c:pt idx="23">
                  <c:v>0.26755466696982588</c:v>
                </c:pt>
                <c:pt idx="24">
                  <c:v>0.26756585892128742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9B-5D44-9BF7-2090D36F1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7567216"/>
        <c:axId val="1628547936"/>
      </c:lineChart>
      <c:catAx>
        <c:axId val="1497567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28547936"/>
        <c:crosses val="autoZero"/>
        <c:auto val="1"/>
        <c:lblAlgn val="ctr"/>
        <c:lblOffset val="100"/>
        <c:noMultiLvlLbl val="0"/>
      </c:catAx>
      <c:valAx>
        <c:axId val="1628547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756721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Actual data (July 2015 - June 2023) vs. Within and Out-of-sample Forecast for Total State Department Stores Turnover (Seasonally-Adjusted Data)</a:t>
            </a:r>
            <a:endParaRPr lang="en-GB" sz="1400" b="0" i="0" u="none" strike="noStrike" kern="1200" cap="none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'Exercise 1 SES (Optimised)'!$B$1</c:f>
              <c:strCache>
                <c:ptCount val="1"/>
                <c:pt idx="0">
                  <c:v>Total (State) Department stores Turnover in $ millions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'Exercise 1 SES (Optimised)'!$A$2:$A$109</c:f>
              <c:numCache>
                <c:formatCode>mmm\-yyyy</c:formatCode>
                <c:ptCount val="108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</c:numCache>
            </c:numRef>
          </c:cat>
          <c:val>
            <c:numRef>
              <c:f>'Exercise 1 SES (Optimised)'!$B$2:$B$109</c:f>
              <c:numCache>
                <c:formatCode>0.0;\-0.0;0.0;@</c:formatCode>
                <c:ptCount val="108"/>
                <c:pt idx="0">
                  <c:v>1585.7</c:v>
                </c:pt>
                <c:pt idx="1">
                  <c:v>1586.3</c:v>
                </c:pt>
                <c:pt idx="2">
                  <c:v>1541.9</c:v>
                </c:pt>
                <c:pt idx="3">
                  <c:v>1591.9</c:v>
                </c:pt>
                <c:pt idx="4">
                  <c:v>1590</c:v>
                </c:pt>
                <c:pt idx="5">
                  <c:v>1592.5</c:v>
                </c:pt>
                <c:pt idx="6">
                  <c:v>1610.3</c:v>
                </c:pt>
                <c:pt idx="7">
                  <c:v>1591.6</c:v>
                </c:pt>
                <c:pt idx="8">
                  <c:v>1584.6</c:v>
                </c:pt>
                <c:pt idx="9">
                  <c:v>1580.8</c:v>
                </c:pt>
                <c:pt idx="10">
                  <c:v>1567.4</c:v>
                </c:pt>
                <c:pt idx="11">
                  <c:v>1582.1</c:v>
                </c:pt>
                <c:pt idx="12">
                  <c:v>1537.2</c:v>
                </c:pt>
                <c:pt idx="13">
                  <c:v>1541.6</c:v>
                </c:pt>
                <c:pt idx="14">
                  <c:v>1537.8</c:v>
                </c:pt>
                <c:pt idx="15">
                  <c:v>1536.8</c:v>
                </c:pt>
                <c:pt idx="16">
                  <c:v>1524.3</c:v>
                </c:pt>
                <c:pt idx="17">
                  <c:v>1550.1</c:v>
                </c:pt>
                <c:pt idx="18">
                  <c:v>1554.7</c:v>
                </c:pt>
                <c:pt idx="19">
                  <c:v>1542.9</c:v>
                </c:pt>
                <c:pt idx="20">
                  <c:v>1545.1</c:v>
                </c:pt>
                <c:pt idx="21">
                  <c:v>1604.2</c:v>
                </c:pt>
                <c:pt idx="22">
                  <c:v>1550.6</c:v>
                </c:pt>
                <c:pt idx="23">
                  <c:v>1548.7</c:v>
                </c:pt>
                <c:pt idx="24">
                  <c:v>1541.7</c:v>
                </c:pt>
                <c:pt idx="25">
                  <c:v>1519.8</c:v>
                </c:pt>
                <c:pt idx="26">
                  <c:v>1557.1</c:v>
                </c:pt>
                <c:pt idx="27">
                  <c:v>1566.8</c:v>
                </c:pt>
                <c:pt idx="28">
                  <c:v>1536.8</c:v>
                </c:pt>
                <c:pt idx="29">
                  <c:v>1553.1</c:v>
                </c:pt>
                <c:pt idx="30">
                  <c:v>1544.7</c:v>
                </c:pt>
                <c:pt idx="31">
                  <c:v>1547.5</c:v>
                </c:pt>
                <c:pt idx="32">
                  <c:v>1548.6</c:v>
                </c:pt>
                <c:pt idx="33">
                  <c:v>1542.1</c:v>
                </c:pt>
                <c:pt idx="34">
                  <c:v>1588.6</c:v>
                </c:pt>
                <c:pt idx="35">
                  <c:v>1577.2</c:v>
                </c:pt>
                <c:pt idx="36">
                  <c:v>1540.7</c:v>
                </c:pt>
                <c:pt idx="37">
                  <c:v>1554.6</c:v>
                </c:pt>
                <c:pt idx="38">
                  <c:v>1560</c:v>
                </c:pt>
                <c:pt idx="39">
                  <c:v>1565.6</c:v>
                </c:pt>
                <c:pt idx="40">
                  <c:v>1537.1</c:v>
                </c:pt>
                <c:pt idx="41">
                  <c:v>1567.6</c:v>
                </c:pt>
                <c:pt idx="42">
                  <c:v>1540.1</c:v>
                </c:pt>
                <c:pt idx="43">
                  <c:v>1566.3</c:v>
                </c:pt>
                <c:pt idx="44">
                  <c:v>1535.7</c:v>
                </c:pt>
                <c:pt idx="45">
                  <c:v>1565.8</c:v>
                </c:pt>
                <c:pt idx="46">
                  <c:v>1575.7</c:v>
                </c:pt>
                <c:pt idx="47">
                  <c:v>1570</c:v>
                </c:pt>
                <c:pt idx="48">
                  <c:v>1548.9</c:v>
                </c:pt>
                <c:pt idx="49">
                  <c:v>1575.1</c:v>
                </c:pt>
                <c:pt idx="50">
                  <c:v>1576.2</c:v>
                </c:pt>
                <c:pt idx="51">
                  <c:v>1571.7</c:v>
                </c:pt>
                <c:pt idx="52">
                  <c:v>1580.8</c:v>
                </c:pt>
                <c:pt idx="53">
                  <c:v>1590.7</c:v>
                </c:pt>
                <c:pt idx="54">
                  <c:v>1566.5</c:v>
                </c:pt>
                <c:pt idx="55">
                  <c:v>1587.1</c:v>
                </c:pt>
                <c:pt idx="56">
                  <c:v>1426.1</c:v>
                </c:pt>
                <c:pt idx="57">
                  <c:v>1241.5999999999999</c:v>
                </c:pt>
                <c:pt idx="58">
                  <c:v>1751.8</c:v>
                </c:pt>
                <c:pt idx="59">
                  <c:v>1574.8</c:v>
                </c:pt>
                <c:pt idx="60">
                  <c:v>1630.6</c:v>
                </c:pt>
                <c:pt idx="61">
                  <c:v>1470.1</c:v>
                </c:pt>
                <c:pt idx="62">
                  <c:v>1466.6</c:v>
                </c:pt>
                <c:pt idx="63">
                  <c:v>1590.5</c:v>
                </c:pt>
                <c:pt idx="64">
                  <c:v>1809</c:v>
                </c:pt>
                <c:pt idx="65">
                  <c:v>1701</c:v>
                </c:pt>
                <c:pt idx="66">
                  <c:v>1678</c:v>
                </c:pt>
                <c:pt idx="67">
                  <c:v>1672.8</c:v>
                </c:pt>
                <c:pt idx="68">
                  <c:v>1786.1</c:v>
                </c:pt>
                <c:pt idx="69">
                  <c:v>1713.6</c:v>
                </c:pt>
                <c:pt idx="70">
                  <c:v>1673</c:v>
                </c:pt>
                <c:pt idx="71">
                  <c:v>1566.2</c:v>
                </c:pt>
                <c:pt idx="72">
                  <c:v>1395.6</c:v>
                </c:pt>
                <c:pt idx="73">
                  <c:v>1221.2</c:v>
                </c:pt>
                <c:pt idx="74">
                  <c:v>1234.5</c:v>
                </c:pt>
                <c:pt idx="75">
                  <c:v>1525.4</c:v>
                </c:pt>
                <c:pt idx="76">
                  <c:v>1800.2</c:v>
                </c:pt>
                <c:pt idx="77">
                  <c:v>1582.7</c:v>
                </c:pt>
                <c:pt idx="78">
                  <c:v>1629.3</c:v>
                </c:pt>
                <c:pt idx="79">
                  <c:v>1752.4</c:v>
                </c:pt>
                <c:pt idx="80">
                  <c:v>1801.2</c:v>
                </c:pt>
                <c:pt idx="81">
                  <c:v>1800.1</c:v>
                </c:pt>
                <c:pt idx="82">
                  <c:v>1843.7</c:v>
                </c:pt>
                <c:pt idx="83">
                  <c:v>1851.2</c:v>
                </c:pt>
                <c:pt idx="84">
                  <c:v>1870.1</c:v>
                </c:pt>
                <c:pt idx="85">
                  <c:v>1893.2</c:v>
                </c:pt>
                <c:pt idx="86">
                  <c:v>1887.9</c:v>
                </c:pt>
                <c:pt idx="87">
                  <c:v>1895.8</c:v>
                </c:pt>
                <c:pt idx="88">
                  <c:v>1908.3</c:v>
                </c:pt>
                <c:pt idx="89">
                  <c:v>1772.8</c:v>
                </c:pt>
                <c:pt idx="90">
                  <c:v>1901.5</c:v>
                </c:pt>
                <c:pt idx="91">
                  <c:v>1882.1</c:v>
                </c:pt>
                <c:pt idx="92">
                  <c:v>1896.2</c:v>
                </c:pt>
                <c:pt idx="93">
                  <c:v>1915.5</c:v>
                </c:pt>
                <c:pt idx="94">
                  <c:v>1904.8</c:v>
                </c:pt>
                <c:pt idx="95">
                  <c:v>1814.1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BA-5843-9C28-D29E5CA7A234}"/>
            </c:ext>
          </c:extLst>
        </c:ser>
        <c:ser>
          <c:idx val="1"/>
          <c:order val="1"/>
          <c:tx>
            <c:strRef>
              <c:f>'Exercise 1 SES (Optimised)'!$C$1</c:f>
              <c:strCache>
                <c:ptCount val="1"/>
                <c:pt idx="0">
                  <c:v>Within Sample Forecast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'Exercise 1 SES (Optimised)'!$A$2:$A$109</c:f>
              <c:numCache>
                <c:formatCode>mmm\-yyyy</c:formatCode>
                <c:ptCount val="108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</c:numCache>
            </c:numRef>
          </c:cat>
          <c:val>
            <c:numRef>
              <c:f>'Exercise 1 SES (Optimised)'!$C$2:$C$109</c:f>
              <c:numCache>
                <c:formatCode>0.00;\-0.00;0.00;@</c:formatCode>
                <c:ptCount val="108"/>
                <c:pt idx="0">
                  <c:v>1585.7</c:v>
                </c:pt>
                <c:pt idx="1">
                  <c:v>1585.6999999999998</c:v>
                </c:pt>
                <c:pt idx="2">
                  <c:v>1586.1213592842205</c:v>
                </c:pt>
                <c:pt idx="3">
                  <c:v>1555.0662254587805</c:v>
                </c:pt>
                <c:pt idx="4">
                  <c:v>1580.9333135851698</c:v>
                </c:pt>
                <c:pt idx="5">
                  <c:v>1587.3005344151798</c:v>
                </c:pt>
                <c:pt idx="6">
                  <c:v>1590.9519395770963</c:v>
                </c:pt>
                <c:pt idx="7">
                  <c:v>1604.5394143951844</c:v>
                </c:pt>
                <c:pt idx="8">
                  <c:v>1595.4525104155352</c:v>
                </c:pt>
                <c:pt idx="9">
                  <c:v>1587.8311670477231</c:v>
                </c:pt>
                <c:pt idx="10">
                  <c:v>1582.893421190282</c:v>
                </c:pt>
                <c:pt idx="11">
                  <c:v>1572.0129264188381</c:v>
                </c:pt>
                <c:pt idx="12">
                  <c:v>1579.0967299255706</c:v>
                </c:pt>
                <c:pt idx="13">
                  <c:v>1549.6741030378626</c:v>
                </c:pt>
                <c:pt idx="14">
                  <c:v>1544.0039392432664</c:v>
                </c:pt>
                <c:pt idx="15">
                  <c:v>1539.647126911781</c:v>
                </c:pt>
                <c:pt idx="16">
                  <c:v>1537.647687982392</c:v>
                </c:pt>
                <c:pt idx="17">
                  <c:v>1528.2740675586228</c:v>
                </c:pt>
                <c:pt idx="18">
                  <c:v>1543.6016663435348</c:v>
                </c:pt>
                <c:pt idx="19">
                  <c:v>1551.3956428860854</c:v>
                </c:pt>
                <c:pt idx="20">
                  <c:v>1545.4294462102935</c:v>
                </c:pt>
                <c:pt idx="21">
                  <c:v>1545.1980875113627</c:v>
                </c:pt>
                <c:pt idx="22">
                  <c:v>1586.633093534467</c:v>
                </c:pt>
                <c:pt idx="23">
                  <c:v>1561.3282960345682</c:v>
                </c:pt>
                <c:pt idx="24">
                  <c:v>1552.4598797378144</c:v>
                </c:pt>
                <c:pt idx="25">
                  <c:v>1544.9035876967714</c:v>
                </c:pt>
                <c:pt idx="26">
                  <c:v>1527.2742047913009</c:v>
                </c:pt>
                <c:pt idx="27">
                  <c:v>1548.21983099205</c:v>
                </c:pt>
                <c:pt idx="28">
                  <c:v>1561.2680421818645</c:v>
                </c:pt>
                <c:pt idx="29">
                  <c:v>1544.0849809484789</c:v>
                </c:pt>
                <c:pt idx="30">
                  <c:v>1550.4159175731199</c:v>
                </c:pt>
                <c:pt idx="31">
                  <c:v>1546.4018260109963</c:v>
                </c:pt>
                <c:pt idx="32">
                  <c:v>1547.1730356875901</c:v>
                </c:pt>
                <c:pt idx="33">
                  <c:v>1548.1751434563992</c:v>
                </c:pt>
                <c:pt idx="34">
                  <c:v>1543.9087799591887</c:v>
                </c:pt>
                <c:pt idx="35">
                  <c:v>1575.2938807714295</c:v>
                </c:pt>
                <c:pt idx="36">
                  <c:v>1576.6324824944124</c:v>
                </c:pt>
                <c:pt idx="37">
                  <c:v>1551.3983406542172</c:v>
                </c:pt>
                <c:pt idx="38">
                  <c:v>1553.6467554713131</c:v>
                </c:pt>
                <c:pt idx="39">
                  <c:v>1558.1084197497905</c:v>
                </c:pt>
                <c:pt idx="40">
                  <c:v>1563.3694979029738</c:v>
                </c:pt>
                <c:pt idx="41">
                  <c:v>1544.9213365142514</c:v>
                </c:pt>
                <c:pt idx="42">
                  <c:v>1560.8477788699786</c:v>
                </c:pt>
                <c:pt idx="43">
                  <c:v>1546.2773301136071</c:v>
                </c:pt>
                <c:pt idx="44">
                  <c:v>1560.3385598661357</c:v>
                </c:pt>
                <c:pt idx="45">
                  <c:v>1543.035749950431</c:v>
                </c:pt>
                <c:pt idx="46">
                  <c:v>1559.0222967949419</c:v>
                </c:pt>
                <c:pt idx="47">
                  <c:v>1570.7344719364885</c:v>
                </c:pt>
                <c:pt idx="48">
                  <c:v>1570.2186776540902</c:v>
                </c:pt>
                <c:pt idx="49">
                  <c:v>1555.2473063926593</c:v>
                </c:pt>
                <c:pt idx="50">
                  <c:v>1569.1891676730613</c:v>
                </c:pt>
                <c:pt idx="51">
                  <c:v>1574.1126331581779</c:v>
                </c:pt>
                <c:pt idx="52">
                  <c:v>1572.418324190483</c:v>
                </c:pt>
                <c:pt idx="53">
                  <c:v>1578.3044857232624</c:v>
                </c:pt>
                <c:pt idx="54">
                  <c:v>1587.0094274285843</c:v>
                </c:pt>
                <c:pt idx="55">
                  <c:v>1572.606364660111</c:v>
                </c:pt>
                <c:pt idx="56">
                  <c:v>1582.7847443477292</c:v>
                </c:pt>
                <c:pt idx="57">
                  <c:v>1472.7504581366343</c:v>
                </c:pt>
                <c:pt idx="58">
                  <c:v>1310.4214721570829</c:v>
                </c:pt>
                <c:pt idx="59">
                  <c:v>1620.3863730941862</c:v>
                </c:pt>
                <c:pt idx="60">
                  <c:v>1588.3726371988821</c:v>
                </c:pt>
                <c:pt idx="61">
                  <c:v>1618.0274561395577</c:v>
                </c:pt>
                <c:pt idx="62">
                  <c:v>1514.1431110803114</c:v>
                </c:pt>
                <c:pt idx="63">
                  <c:v>1480.7552256562722</c:v>
                </c:pt>
                <c:pt idx="64">
                  <c:v>1557.8251915969913</c:v>
                </c:pt>
                <c:pt idx="65">
                  <c:v>1734.2165874019151</c:v>
                </c:pt>
                <c:pt idx="66">
                  <c:v>1710.8897249153752</c:v>
                </c:pt>
                <c:pt idx="67">
                  <c:v>1687.7924066677801</c:v>
                </c:pt>
                <c:pt idx="68">
                  <c:v>1677.2637570973118</c:v>
                </c:pt>
                <c:pt idx="69">
                  <c:v>1753.6956927752167</c:v>
                </c:pt>
                <c:pt idx="70">
                  <c:v>1725.537872095055</c:v>
                </c:pt>
                <c:pt idx="71">
                  <c:v>1688.642338460973</c:v>
                </c:pt>
                <c:pt idx="72">
                  <c:v>1602.6553116406064</c:v>
                </c:pt>
                <c:pt idx="73">
                  <c:v>1457.2475151289855</c:v>
                </c:pt>
                <c:pt idx="74">
                  <c:v>1291.4794951009592</c:v>
                </c:pt>
                <c:pt idx="75">
                  <c:v>1251.4647629826343</c:v>
                </c:pt>
                <c:pt idx="76">
                  <c:v>1443.8400219700598</c:v>
                </c:pt>
                <c:pt idx="77">
                  <c:v>1694.0993307493718</c:v>
                </c:pt>
                <c:pt idx="78">
                  <c:v>1615.867426970678</c:v>
                </c:pt>
                <c:pt idx="79">
                  <c:v>1625.3006592321394</c:v>
                </c:pt>
                <c:pt idx="80">
                  <c:v>1714.5581379835796</c:v>
                </c:pt>
                <c:pt idx="81">
                  <c:v>1775.403726254887</c:v>
                </c:pt>
                <c:pt idx="82">
                  <c:v>1792.747066635151</c:v>
                </c:pt>
                <c:pt idx="83">
                  <c:v>1828.5295525210777</c:v>
                </c:pt>
                <c:pt idx="84">
                  <c:v>1844.4502250588794</c:v>
                </c:pt>
                <c:pt idx="85">
                  <c:v>1862.4631764082321</c:v>
                </c:pt>
                <c:pt idx="86">
                  <c:v>1884.0485863879726</c:v>
                </c:pt>
                <c:pt idx="87">
                  <c:v>1886.7533011926421</c:v>
                </c:pt>
                <c:pt idx="88">
                  <c:v>1893.1064854160225</c:v>
                </c:pt>
                <c:pt idx="89">
                  <c:v>1903.7763661325243</c:v>
                </c:pt>
                <c:pt idx="90">
                  <c:v>1811.7961863268174</c:v>
                </c:pt>
                <c:pt idx="91">
                  <c:v>1874.7920775288108</c:v>
                </c:pt>
                <c:pt idx="92">
                  <c:v>1879.9241791648114</c:v>
                </c:pt>
                <c:pt idx="93">
                  <c:v>1891.3541261935093</c:v>
                </c:pt>
                <c:pt idx="94">
                  <c:v>1908.3109397001515</c:v>
                </c:pt>
                <c:pt idx="95">
                  <c:v>1905.8453279684886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BA-5843-9C28-D29E5CA7A234}"/>
            </c:ext>
          </c:extLst>
        </c:ser>
        <c:ser>
          <c:idx val="2"/>
          <c:order val="2"/>
          <c:tx>
            <c:strRef>
              <c:f>'Exercise 1 SES (Optimised)'!$D$1</c:f>
              <c:strCache>
                <c:ptCount val="1"/>
                <c:pt idx="0">
                  <c:v>Out-of-sample Forecast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'Exercise 1 SES (Optimised)'!$A$2:$A$109</c:f>
              <c:numCache>
                <c:formatCode>mmm\-yyyy</c:formatCode>
                <c:ptCount val="108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</c:numCache>
            </c:numRef>
          </c:cat>
          <c:val>
            <c:numRef>
              <c:f>'Exercise 1 SES (Optimised)'!$D$2:$D$109</c:f>
              <c:numCache>
                <c:formatCode>0.00;\-0.00;0.00;@</c:formatCode>
                <c:ptCount val="108"/>
                <c:pt idx="95">
                  <c:v>1905.8453279684886</c:v>
                </c:pt>
                <c:pt idx="96">
                  <c:v>1841.4157517628346</c:v>
                </c:pt>
                <c:pt idx="97">
                  <c:v>1841.4157517628346</c:v>
                </c:pt>
                <c:pt idx="98">
                  <c:v>1841.4157517628346</c:v>
                </c:pt>
                <c:pt idx="99">
                  <c:v>1841.4157517628346</c:v>
                </c:pt>
                <c:pt idx="100">
                  <c:v>1841.4157517628346</c:v>
                </c:pt>
                <c:pt idx="101">
                  <c:v>1841.4157517628346</c:v>
                </c:pt>
                <c:pt idx="102">
                  <c:v>1841.4157517628346</c:v>
                </c:pt>
                <c:pt idx="103">
                  <c:v>1841.4157517628346</c:v>
                </c:pt>
                <c:pt idx="104">
                  <c:v>1841.4157517628346</c:v>
                </c:pt>
                <c:pt idx="105">
                  <c:v>1841.4157517628346</c:v>
                </c:pt>
                <c:pt idx="106">
                  <c:v>1841.4157517628346</c:v>
                </c:pt>
                <c:pt idx="107">
                  <c:v>1841.4157517628346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BA-5843-9C28-D29E5CA7A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997037807"/>
        <c:axId val="996248703"/>
      </c:lineChart>
      <c:dateAx>
        <c:axId val="997037807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248703"/>
        <c:crosses val="autoZero"/>
        <c:auto val="1"/>
        <c:lblOffset val="100"/>
        <c:baseTimeUnit val="months"/>
      </c:dateAx>
      <c:valAx>
        <c:axId val="996248703"/>
        <c:scaling>
          <c:orientation val="minMax"/>
        </c:scaling>
        <c:delete val="0"/>
        <c:axPos val="l"/>
        <c:numFmt formatCode="0.0;\-0.0;0.0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03780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'Exercise 1 SES (Optimised)'!$E$1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'Exercise 1 SES (Optimised)'!$E$2:$E$97</c:f>
              <c:numCache>
                <c:formatCode>0.00_);\(0.00\)</c:formatCode>
                <c:ptCount val="96"/>
                <c:pt idx="0">
                  <c:v>0</c:v>
                </c:pt>
                <c:pt idx="1">
                  <c:v>0.60000000000013642</c:v>
                </c:pt>
                <c:pt idx="2">
                  <c:v>-44.221359284220398</c:v>
                </c:pt>
                <c:pt idx="3">
                  <c:v>36.833774541219555</c:v>
                </c:pt>
                <c:pt idx="4">
                  <c:v>9.0666864148302011</c:v>
                </c:pt>
                <c:pt idx="5">
                  <c:v>5.1994655848202456</c:v>
                </c:pt>
                <c:pt idx="6">
                  <c:v>19.3480604229037</c:v>
                </c:pt>
                <c:pt idx="7">
                  <c:v>-12.939414395184485</c:v>
                </c:pt>
                <c:pt idx="8">
                  <c:v>-10.852510415535335</c:v>
                </c:pt>
                <c:pt idx="9">
                  <c:v>-7.0311670477231019</c:v>
                </c:pt>
                <c:pt idx="10">
                  <c:v>-15.493421190281879</c:v>
                </c:pt>
                <c:pt idx="11">
                  <c:v>10.087073581161803</c:v>
                </c:pt>
                <c:pt idx="12">
                  <c:v>-41.896729925570526</c:v>
                </c:pt>
                <c:pt idx="13">
                  <c:v>-8.0741030378626419</c:v>
                </c:pt>
                <c:pt idx="14">
                  <c:v>-6.2039392432664044</c:v>
                </c:pt>
                <c:pt idx="15">
                  <c:v>-2.8471269117810607</c:v>
                </c:pt>
                <c:pt idx="16">
                  <c:v>-13.347687982392017</c:v>
                </c:pt>
                <c:pt idx="17">
                  <c:v>21.825932441377063</c:v>
                </c:pt>
                <c:pt idx="18">
                  <c:v>11.098333656465229</c:v>
                </c:pt>
                <c:pt idx="19">
                  <c:v>-8.4956428860853066</c:v>
                </c:pt>
                <c:pt idx="20">
                  <c:v>-0.32944621029355403</c:v>
                </c:pt>
                <c:pt idx="21">
                  <c:v>59.001912488637345</c:v>
                </c:pt>
                <c:pt idx="22">
                  <c:v>-36.033093534467071</c:v>
                </c:pt>
                <c:pt idx="23">
                  <c:v>-12.628296034568166</c:v>
                </c:pt>
                <c:pt idx="24">
                  <c:v>-10.759879737814344</c:v>
                </c:pt>
                <c:pt idx="25">
                  <c:v>-25.103587696771456</c:v>
                </c:pt>
                <c:pt idx="26">
                  <c:v>29.825795208698992</c:v>
                </c:pt>
                <c:pt idx="27">
                  <c:v>18.580169007949962</c:v>
                </c:pt>
                <c:pt idx="28">
                  <c:v>-24.468042181864575</c:v>
                </c:pt>
                <c:pt idx="29">
                  <c:v>9.0150190515209943</c:v>
                </c:pt>
                <c:pt idx="30">
                  <c:v>-5.7159175731198957</c:v>
                </c:pt>
                <c:pt idx="31">
                  <c:v>1.0981739890037261</c:v>
                </c:pt>
                <c:pt idx="32">
                  <c:v>1.4269643124098366</c:v>
                </c:pt>
                <c:pt idx="33">
                  <c:v>-6.0751434563992461</c:v>
                </c:pt>
                <c:pt idx="34">
                  <c:v>44.691220040811231</c:v>
                </c:pt>
                <c:pt idx="35">
                  <c:v>1.9061192285705602</c:v>
                </c:pt>
                <c:pt idx="36">
                  <c:v>-35.932482494412398</c:v>
                </c:pt>
                <c:pt idx="37">
                  <c:v>3.201659345782673</c:v>
                </c:pt>
                <c:pt idx="38">
                  <c:v>6.3532445286869006</c:v>
                </c:pt>
                <c:pt idx="39">
                  <c:v>7.4915802502093811</c:v>
                </c:pt>
                <c:pt idx="40">
                  <c:v>-26.269497902973853</c:v>
                </c:pt>
                <c:pt idx="41">
                  <c:v>22.67866348574853</c:v>
                </c:pt>
                <c:pt idx="42">
                  <c:v>-20.747778869978674</c:v>
                </c:pt>
                <c:pt idx="43">
                  <c:v>20.022669886392805</c:v>
                </c:pt>
                <c:pt idx="44">
                  <c:v>-24.638559866135665</c:v>
                </c:pt>
                <c:pt idx="45">
                  <c:v>22.764250049569</c:v>
                </c:pt>
                <c:pt idx="46">
                  <c:v>16.677703205058151</c:v>
                </c:pt>
                <c:pt idx="47">
                  <c:v>-0.73447193648848952</c:v>
                </c:pt>
                <c:pt idx="48">
                  <c:v>-21.318677654090152</c:v>
                </c:pt>
                <c:pt idx="49">
                  <c:v>19.852693607340598</c:v>
                </c:pt>
                <c:pt idx="50">
                  <c:v>7.0108323269387256</c:v>
                </c:pt>
                <c:pt idx="51">
                  <c:v>-2.4126331581778686</c:v>
                </c:pt>
                <c:pt idx="52">
                  <c:v>8.3816758095169916</c:v>
                </c:pt>
                <c:pt idx="53">
                  <c:v>12.395514276737686</c:v>
                </c:pt>
                <c:pt idx="54">
                  <c:v>-20.509427428584331</c:v>
                </c:pt>
                <c:pt idx="55">
                  <c:v>14.493635339888897</c:v>
                </c:pt>
                <c:pt idx="56">
                  <c:v>-156.68474434772929</c:v>
                </c:pt>
                <c:pt idx="57">
                  <c:v>-231.15045813663437</c:v>
                </c:pt>
                <c:pt idx="58">
                  <c:v>441.37852784291704</c:v>
                </c:pt>
                <c:pt idx="59">
                  <c:v>-45.586373094186229</c:v>
                </c:pt>
                <c:pt idx="60">
                  <c:v>42.227362801117806</c:v>
                </c:pt>
                <c:pt idx="61">
                  <c:v>-147.92745613955776</c:v>
                </c:pt>
                <c:pt idx="62">
                  <c:v>-47.543111080311519</c:v>
                </c:pt>
                <c:pt idx="63">
                  <c:v>109.74477434372784</c:v>
                </c:pt>
                <c:pt idx="64">
                  <c:v>251.17480840300868</c:v>
                </c:pt>
                <c:pt idx="65">
                  <c:v>-33.216587401915149</c:v>
                </c:pt>
                <c:pt idx="66">
                  <c:v>-32.889724915375155</c:v>
                </c:pt>
                <c:pt idx="67">
                  <c:v>-14.992406667780187</c:v>
                </c:pt>
                <c:pt idx="68">
                  <c:v>108.83624290268813</c:v>
                </c:pt>
                <c:pt idx="69">
                  <c:v>-40.095692775216776</c:v>
                </c:pt>
                <c:pt idx="70">
                  <c:v>-52.537872095055036</c:v>
                </c:pt>
                <c:pt idx="71">
                  <c:v>-122.44233846097291</c:v>
                </c:pt>
                <c:pt idx="72">
                  <c:v>-207.05531164060653</c:v>
                </c:pt>
                <c:pt idx="73">
                  <c:v>-236.04751512898542</c:v>
                </c:pt>
                <c:pt idx="74">
                  <c:v>-56.979495100959184</c:v>
                </c:pt>
                <c:pt idx="75">
                  <c:v>273.93523701736581</c:v>
                </c:pt>
                <c:pt idx="76">
                  <c:v>356.35997802994029</c:v>
                </c:pt>
                <c:pt idx="77">
                  <c:v>-111.39933074937176</c:v>
                </c:pt>
                <c:pt idx="78">
                  <c:v>13.432573029321929</c:v>
                </c:pt>
                <c:pt idx="79">
                  <c:v>127.09934076786067</c:v>
                </c:pt>
                <c:pt idx="80">
                  <c:v>86.641862016420419</c:v>
                </c:pt>
                <c:pt idx="81">
                  <c:v>24.696273745112876</c:v>
                </c:pt>
                <c:pt idx="82">
                  <c:v>50.952933364849059</c:v>
                </c:pt>
                <c:pt idx="83">
                  <c:v>22.67044747892237</c:v>
                </c:pt>
                <c:pt idx="84">
                  <c:v>25.64977494112054</c:v>
                </c:pt>
                <c:pt idx="85">
                  <c:v>30.736823591767916</c:v>
                </c:pt>
                <c:pt idx="86">
                  <c:v>3.8514136120274998</c:v>
                </c:pt>
                <c:pt idx="87">
                  <c:v>9.0466988073578705</c:v>
                </c:pt>
                <c:pt idx="88">
                  <c:v>15.193514583977503</c:v>
                </c:pt>
                <c:pt idx="89">
                  <c:v>-130.97636613252439</c:v>
                </c:pt>
                <c:pt idx="90">
                  <c:v>89.703813673182594</c:v>
                </c:pt>
                <c:pt idx="91">
                  <c:v>7.3079224711891584</c:v>
                </c:pt>
                <c:pt idx="92">
                  <c:v>16.275820835188597</c:v>
                </c:pt>
                <c:pt idx="93">
                  <c:v>24.145873806490727</c:v>
                </c:pt>
                <c:pt idx="94">
                  <c:v>-3.510939700151539</c:v>
                </c:pt>
                <c:pt idx="95">
                  <c:v>-91.745327968488709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EF-9543-A506-5C35D5ACD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697663"/>
        <c:axId val="383284015"/>
      </c:scatterChart>
      <c:valAx>
        <c:axId val="80569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284015"/>
        <c:crosses val="autoZero"/>
        <c:crossBetween val="midCat"/>
      </c:valAx>
      <c:valAx>
        <c:axId val="38328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69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Correlogram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acf</c:v>
          </c:tx>
          <c:invertIfNegative val="0"/>
          <c:cat>
            <c:numRef>
              <c:f>'Exercise 1 HES'!$R$11:$R$35</c:f>
              <c:numCache>
                <c:formatCode>General</c:formatCode>
                <c:ptCount val="25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'Exercise 1 HES'!$S$11:$S$35</c:f>
              <c:numCache>
                <c:formatCode>General</c:formatCode>
                <c:ptCount val="25"/>
                <c:pt idx="1">
                  <c:v>0.2234114107529826</c:v>
                </c:pt>
                <c:pt idx="2">
                  <c:v>-0.21496127381371585</c:v>
                </c:pt>
                <c:pt idx="3">
                  <c:v>-0.32309757816778806</c:v>
                </c:pt>
                <c:pt idx="4">
                  <c:v>-0.11260512007448654</c:v>
                </c:pt>
                <c:pt idx="5">
                  <c:v>2.113319834224104E-2</c:v>
                </c:pt>
                <c:pt idx="6">
                  <c:v>5.9323144202628644E-2</c:v>
                </c:pt>
                <c:pt idx="7">
                  <c:v>-0.15189662372431692</c:v>
                </c:pt>
                <c:pt idx="8">
                  <c:v>-0.11418346485184555</c:v>
                </c:pt>
                <c:pt idx="9">
                  <c:v>-0.11846607387447057</c:v>
                </c:pt>
                <c:pt idx="10">
                  <c:v>1.8054869114556601E-2</c:v>
                </c:pt>
                <c:pt idx="11">
                  <c:v>0.13445941511725756</c:v>
                </c:pt>
                <c:pt idx="12">
                  <c:v>0.18191689348889703</c:v>
                </c:pt>
                <c:pt idx="13">
                  <c:v>-0.10399558598399311</c:v>
                </c:pt>
                <c:pt idx="14">
                  <c:v>-0.19638110618209617</c:v>
                </c:pt>
                <c:pt idx="15">
                  <c:v>-2.4356701496419032E-2</c:v>
                </c:pt>
                <c:pt idx="16">
                  <c:v>0.18286382821522479</c:v>
                </c:pt>
                <c:pt idx="17">
                  <c:v>0.28834011108734298</c:v>
                </c:pt>
                <c:pt idx="18">
                  <c:v>0.11479834373099748</c:v>
                </c:pt>
                <c:pt idx="19">
                  <c:v>-0.2599336568175265</c:v>
                </c:pt>
                <c:pt idx="20">
                  <c:v>-0.13898189268680014</c:v>
                </c:pt>
                <c:pt idx="21">
                  <c:v>1.1675923870661792E-2</c:v>
                </c:pt>
                <c:pt idx="22">
                  <c:v>-7.497704064157196E-3</c:v>
                </c:pt>
                <c:pt idx="23">
                  <c:v>-8.5303590562682587E-3</c:v>
                </c:pt>
                <c:pt idx="24">
                  <c:v>2.4569161172799371E-2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F7-894E-9AE2-967894A77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3409008"/>
        <c:axId val="2145712912"/>
      </c:barChart>
      <c:lineChart>
        <c:grouping val="standard"/>
        <c:varyColors val="0"/>
        <c:ser>
          <c:idx val="0"/>
          <c:order val="0"/>
          <c:tx>
            <c:strRef>
              <c:f>'Exercise 1 HES'!$T$10</c:f>
              <c:strCache>
                <c:ptCount val="1"/>
                <c:pt idx="0">
                  <c:v>lower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'Exercise 1 HES'!$R$11:$R$35</c:f>
              <c:numCache>
                <c:formatCode>General</c:formatCode>
                <c:ptCount val="25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'Exercise 1 HES'!$T$11:$T$35</c:f>
              <c:numCache>
                <c:formatCode>General</c:formatCode>
                <c:ptCount val="25"/>
                <c:pt idx="1">
                  <c:v>-0.20108806190046569</c:v>
                </c:pt>
                <c:pt idx="2">
                  <c:v>-0.21088619192809954</c:v>
                </c:pt>
                <c:pt idx="3">
                  <c:v>-0.21956772379085701</c:v>
                </c:pt>
                <c:pt idx="4">
                  <c:v>-0.23801778108511709</c:v>
                </c:pt>
                <c:pt idx="5">
                  <c:v>-0.24016228764160164</c:v>
                </c:pt>
                <c:pt idx="6">
                  <c:v>-0.2402374724762027</c:v>
                </c:pt>
                <c:pt idx="7">
                  <c:v>-0.24082909638641264</c:v>
                </c:pt>
                <c:pt idx="8">
                  <c:v>-0.24467243114094939</c:v>
                </c:pt>
                <c:pt idx="9">
                  <c:v>-0.24681776136397376</c:v>
                </c:pt>
                <c:pt idx="10">
                  <c:v>-0.24910638987991715</c:v>
                </c:pt>
                <c:pt idx="11">
                  <c:v>-0.24915929896834299</c:v>
                </c:pt>
                <c:pt idx="12">
                  <c:v>-0.25207634352086611</c:v>
                </c:pt>
                <c:pt idx="13">
                  <c:v>-0.25733027077264764</c:v>
                </c:pt>
                <c:pt idx="14">
                  <c:v>-0.25902415794400901</c:v>
                </c:pt>
                <c:pt idx="15">
                  <c:v>-0.2649762596469265</c:v>
                </c:pt>
                <c:pt idx="16">
                  <c:v>-0.26506677627910108</c:v>
                </c:pt>
                <c:pt idx="17">
                  <c:v>-0.27011981888474468</c:v>
                </c:pt>
                <c:pt idx="18">
                  <c:v>-0.28229148795688336</c:v>
                </c:pt>
                <c:pt idx="19">
                  <c:v>-0.28417297463461599</c:v>
                </c:pt>
                <c:pt idx="20">
                  <c:v>-0.29362985599114416</c:v>
                </c:pt>
                <c:pt idx="21">
                  <c:v>-0.29627795894777259</c:v>
                </c:pt>
                <c:pt idx="22">
                  <c:v>-0.29629656448033742</c:v>
                </c:pt>
                <c:pt idx="23">
                  <c:v>-0.29630423627425062</c:v>
                </c:pt>
                <c:pt idx="24">
                  <c:v>-0.29631416656723392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F7-894E-9AE2-967894A77E8C}"/>
            </c:ext>
          </c:extLst>
        </c:ser>
        <c:ser>
          <c:idx val="1"/>
          <c:order val="1"/>
          <c:tx>
            <c:strRef>
              <c:f>'Exercise 1 HES'!$U$10</c:f>
              <c:strCache>
                <c:ptCount val="1"/>
                <c:pt idx="0">
                  <c:v>upper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val>
            <c:numRef>
              <c:f>'Exercise 1 HES'!$U$11:$U$35</c:f>
              <c:numCache>
                <c:formatCode>General</c:formatCode>
                <c:ptCount val="25"/>
                <c:pt idx="1">
                  <c:v>0.20108806190046569</c:v>
                </c:pt>
                <c:pt idx="2">
                  <c:v>0.21088619192809954</c:v>
                </c:pt>
                <c:pt idx="3">
                  <c:v>0.21956772379085701</c:v>
                </c:pt>
                <c:pt idx="4">
                  <c:v>0.23801778108511709</c:v>
                </c:pt>
                <c:pt idx="5">
                  <c:v>0.24016228764160164</c:v>
                </c:pt>
                <c:pt idx="6">
                  <c:v>0.2402374724762027</c:v>
                </c:pt>
                <c:pt idx="7">
                  <c:v>0.24082909638641264</c:v>
                </c:pt>
                <c:pt idx="8">
                  <c:v>0.24467243114094939</c:v>
                </c:pt>
                <c:pt idx="9">
                  <c:v>0.24681776136397376</c:v>
                </c:pt>
                <c:pt idx="10">
                  <c:v>0.24910638987991715</c:v>
                </c:pt>
                <c:pt idx="11">
                  <c:v>0.24915929896834299</c:v>
                </c:pt>
                <c:pt idx="12">
                  <c:v>0.25207634352086611</c:v>
                </c:pt>
                <c:pt idx="13">
                  <c:v>0.25733027077264764</c:v>
                </c:pt>
                <c:pt idx="14">
                  <c:v>0.25902415794400901</c:v>
                </c:pt>
                <c:pt idx="15">
                  <c:v>0.2649762596469265</c:v>
                </c:pt>
                <c:pt idx="16">
                  <c:v>0.26506677627910108</c:v>
                </c:pt>
                <c:pt idx="17">
                  <c:v>0.27011981888474468</c:v>
                </c:pt>
                <c:pt idx="18">
                  <c:v>0.28229148795688336</c:v>
                </c:pt>
                <c:pt idx="19">
                  <c:v>0.28417297463461599</c:v>
                </c:pt>
                <c:pt idx="20">
                  <c:v>0.29362985599114416</c:v>
                </c:pt>
                <c:pt idx="21">
                  <c:v>0.29627795894777259</c:v>
                </c:pt>
                <c:pt idx="22">
                  <c:v>0.29629656448033742</c:v>
                </c:pt>
                <c:pt idx="23">
                  <c:v>0.29630423627425062</c:v>
                </c:pt>
                <c:pt idx="24">
                  <c:v>0.29631416656723392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F7-894E-9AE2-967894A77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3409008"/>
        <c:axId val="2145712912"/>
      </c:lineChart>
      <c:catAx>
        <c:axId val="2073409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45712912"/>
        <c:crosses val="autoZero"/>
        <c:auto val="1"/>
        <c:lblAlgn val="ctr"/>
        <c:lblOffset val="100"/>
        <c:noMultiLvlLbl val="0"/>
      </c:catAx>
      <c:valAx>
        <c:axId val="2145712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7340900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Actual data (July 2015 - June 2023) vs. Within and Out-of-sample Forecast for Total State Department Stores Turnover (Seasonally-Adjusted Data)</a:t>
            </a:r>
            <a:endParaRPr lang="en-GB" sz="1400" b="0" i="0" u="none" strike="noStrike" kern="1200" cap="none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'Exercise 1 HES'!$B$1</c:f>
              <c:strCache>
                <c:ptCount val="1"/>
                <c:pt idx="0">
                  <c:v>Total Department stores Turnover in $ millions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'Exercise 1 HES'!$A$2:$A$109</c:f>
              <c:numCache>
                <c:formatCode>mmm\-yyyy</c:formatCode>
                <c:ptCount val="108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</c:numCache>
            </c:numRef>
          </c:cat>
          <c:val>
            <c:numRef>
              <c:f>'Exercise 1 HES'!$B$2:$B$109</c:f>
              <c:numCache>
                <c:formatCode>0.0;\-0.0;0.0;@</c:formatCode>
                <c:ptCount val="108"/>
                <c:pt idx="0">
                  <c:v>1585.7</c:v>
                </c:pt>
                <c:pt idx="1">
                  <c:v>1586.3</c:v>
                </c:pt>
                <c:pt idx="2">
                  <c:v>1541.9</c:v>
                </c:pt>
                <c:pt idx="3">
                  <c:v>1591.9</c:v>
                </c:pt>
                <c:pt idx="4">
                  <c:v>1590</c:v>
                </c:pt>
                <c:pt idx="5">
                  <c:v>1592.5</c:v>
                </c:pt>
                <c:pt idx="6">
                  <c:v>1610.3</c:v>
                </c:pt>
                <c:pt idx="7">
                  <c:v>1591.6</c:v>
                </c:pt>
                <c:pt idx="8">
                  <c:v>1584.6</c:v>
                </c:pt>
                <c:pt idx="9">
                  <c:v>1580.8</c:v>
                </c:pt>
                <c:pt idx="10">
                  <c:v>1567.4</c:v>
                </c:pt>
                <c:pt idx="11">
                  <c:v>1582.1</c:v>
                </c:pt>
                <c:pt idx="12">
                  <c:v>1537.2</c:v>
                </c:pt>
                <c:pt idx="13">
                  <c:v>1541.6</c:v>
                </c:pt>
                <c:pt idx="14">
                  <c:v>1537.8</c:v>
                </c:pt>
                <c:pt idx="15">
                  <c:v>1536.8</c:v>
                </c:pt>
                <c:pt idx="16">
                  <c:v>1524.3</c:v>
                </c:pt>
                <c:pt idx="17">
                  <c:v>1550.1</c:v>
                </c:pt>
                <c:pt idx="18">
                  <c:v>1554.7</c:v>
                </c:pt>
                <c:pt idx="19">
                  <c:v>1542.9</c:v>
                </c:pt>
                <c:pt idx="20">
                  <c:v>1545.1</c:v>
                </c:pt>
                <c:pt idx="21">
                  <c:v>1604.2</c:v>
                </c:pt>
                <c:pt idx="22">
                  <c:v>1550.6</c:v>
                </c:pt>
                <c:pt idx="23">
                  <c:v>1548.7</c:v>
                </c:pt>
                <c:pt idx="24">
                  <c:v>1541.7</c:v>
                </c:pt>
                <c:pt idx="25">
                  <c:v>1519.8</c:v>
                </c:pt>
                <c:pt idx="26">
                  <c:v>1557.1</c:v>
                </c:pt>
                <c:pt idx="27">
                  <c:v>1566.8</c:v>
                </c:pt>
                <c:pt idx="28">
                  <c:v>1536.8</c:v>
                </c:pt>
                <c:pt idx="29">
                  <c:v>1553.1</c:v>
                </c:pt>
                <c:pt idx="30">
                  <c:v>1544.7</c:v>
                </c:pt>
                <c:pt idx="31">
                  <c:v>1547.5</c:v>
                </c:pt>
                <c:pt idx="32">
                  <c:v>1548.6</c:v>
                </c:pt>
                <c:pt idx="33">
                  <c:v>1542.1</c:v>
                </c:pt>
                <c:pt idx="34">
                  <c:v>1588.6</c:v>
                </c:pt>
                <c:pt idx="35">
                  <c:v>1577.2</c:v>
                </c:pt>
                <c:pt idx="36">
                  <c:v>1540.7</c:v>
                </c:pt>
                <c:pt idx="37">
                  <c:v>1554.6</c:v>
                </c:pt>
                <c:pt idx="38">
                  <c:v>1560</c:v>
                </c:pt>
                <c:pt idx="39">
                  <c:v>1565.6</c:v>
                </c:pt>
                <c:pt idx="40">
                  <c:v>1537.1</c:v>
                </c:pt>
                <c:pt idx="41">
                  <c:v>1567.6</c:v>
                </c:pt>
                <c:pt idx="42">
                  <c:v>1540.1</c:v>
                </c:pt>
                <c:pt idx="43">
                  <c:v>1566.3</c:v>
                </c:pt>
                <c:pt idx="44">
                  <c:v>1535.7</c:v>
                </c:pt>
                <c:pt idx="45">
                  <c:v>1565.8</c:v>
                </c:pt>
                <c:pt idx="46">
                  <c:v>1575.7</c:v>
                </c:pt>
                <c:pt idx="47">
                  <c:v>1570</c:v>
                </c:pt>
                <c:pt idx="48">
                  <c:v>1548.9</c:v>
                </c:pt>
                <c:pt idx="49">
                  <c:v>1575.1</c:v>
                </c:pt>
                <c:pt idx="50">
                  <c:v>1576.2</c:v>
                </c:pt>
                <c:pt idx="51">
                  <c:v>1571.7</c:v>
                </c:pt>
                <c:pt idx="52">
                  <c:v>1580.8</c:v>
                </c:pt>
                <c:pt idx="53">
                  <c:v>1590.7</c:v>
                </c:pt>
                <c:pt idx="54">
                  <c:v>1566.5</c:v>
                </c:pt>
                <c:pt idx="55">
                  <c:v>1587.1</c:v>
                </c:pt>
                <c:pt idx="56">
                  <c:v>1426.1</c:v>
                </c:pt>
                <c:pt idx="57">
                  <c:v>1241.5999999999999</c:v>
                </c:pt>
                <c:pt idx="58">
                  <c:v>1751.8</c:v>
                </c:pt>
                <c:pt idx="59">
                  <c:v>1574.8</c:v>
                </c:pt>
                <c:pt idx="60">
                  <c:v>1630.6</c:v>
                </c:pt>
                <c:pt idx="61">
                  <c:v>1470.1</c:v>
                </c:pt>
                <c:pt idx="62">
                  <c:v>1466.6</c:v>
                </c:pt>
                <c:pt idx="63">
                  <c:v>1590.5</c:v>
                </c:pt>
                <c:pt idx="64">
                  <c:v>1809</c:v>
                </c:pt>
                <c:pt idx="65">
                  <c:v>1701</c:v>
                </c:pt>
                <c:pt idx="66">
                  <c:v>1678</c:v>
                </c:pt>
                <c:pt idx="67">
                  <c:v>1672.8</c:v>
                </c:pt>
                <c:pt idx="68">
                  <c:v>1786.1</c:v>
                </c:pt>
                <c:pt idx="69">
                  <c:v>1713.6</c:v>
                </c:pt>
                <c:pt idx="70">
                  <c:v>1673</c:v>
                </c:pt>
                <c:pt idx="71">
                  <c:v>1566.2</c:v>
                </c:pt>
                <c:pt idx="72">
                  <c:v>1395.6</c:v>
                </c:pt>
                <c:pt idx="73">
                  <c:v>1221.2</c:v>
                </c:pt>
                <c:pt idx="74">
                  <c:v>1234.5</c:v>
                </c:pt>
                <c:pt idx="75">
                  <c:v>1525.4</c:v>
                </c:pt>
                <c:pt idx="76">
                  <c:v>1800.2</c:v>
                </c:pt>
                <c:pt idx="77">
                  <c:v>1582.7</c:v>
                </c:pt>
                <c:pt idx="78">
                  <c:v>1629.3</c:v>
                </c:pt>
                <c:pt idx="79">
                  <c:v>1752.4</c:v>
                </c:pt>
                <c:pt idx="80">
                  <c:v>1801.2</c:v>
                </c:pt>
                <c:pt idx="81">
                  <c:v>1800.1</c:v>
                </c:pt>
                <c:pt idx="82">
                  <c:v>1843.7</c:v>
                </c:pt>
                <c:pt idx="83">
                  <c:v>1851.2</c:v>
                </c:pt>
                <c:pt idx="84">
                  <c:v>1870.1</c:v>
                </c:pt>
                <c:pt idx="85">
                  <c:v>1893.2</c:v>
                </c:pt>
                <c:pt idx="86">
                  <c:v>1887.9</c:v>
                </c:pt>
                <c:pt idx="87">
                  <c:v>1895.8</c:v>
                </c:pt>
                <c:pt idx="88">
                  <c:v>1908.3</c:v>
                </c:pt>
                <c:pt idx="89">
                  <c:v>1772.8</c:v>
                </c:pt>
                <c:pt idx="90">
                  <c:v>1901.5</c:v>
                </c:pt>
                <c:pt idx="91">
                  <c:v>1882.1</c:v>
                </c:pt>
                <c:pt idx="92">
                  <c:v>1896.2</c:v>
                </c:pt>
                <c:pt idx="93">
                  <c:v>1915.5</c:v>
                </c:pt>
                <c:pt idx="94">
                  <c:v>1904.8</c:v>
                </c:pt>
                <c:pt idx="95">
                  <c:v>1814.1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AA-6340-A62D-A229B3664FEF}"/>
            </c:ext>
          </c:extLst>
        </c:ser>
        <c:ser>
          <c:idx val="1"/>
          <c:order val="1"/>
          <c:tx>
            <c:strRef>
              <c:f>'Exercise 1 HES'!$E$1</c:f>
              <c:strCache>
                <c:ptCount val="1"/>
                <c:pt idx="0">
                  <c:v>Within Sample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'Exercise 1 HES'!$A$2:$A$109</c:f>
              <c:numCache>
                <c:formatCode>mmm\-yyyy</c:formatCode>
                <c:ptCount val="108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</c:numCache>
            </c:numRef>
          </c:cat>
          <c:val>
            <c:numRef>
              <c:f>'Exercise 1 HES'!$E$2:$E$109</c:f>
              <c:numCache>
                <c:formatCode>0.00;\-0.00;0.00;@</c:formatCode>
                <c:ptCount val="108"/>
                <c:pt idx="1">
                  <c:v>1586.3</c:v>
                </c:pt>
                <c:pt idx="2">
                  <c:v>1586.8999999999999</c:v>
                </c:pt>
                <c:pt idx="3">
                  <c:v>1553.75</c:v>
                </c:pt>
                <c:pt idx="4">
                  <c:v>1571.7125000000001</c:v>
                </c:pt>
                <c:pt idx="5">
                  <c:v>1584.315625</c:v>
                </c:pt>
                <c:pt idx="6">
                  <c:v>1593.9132812500002</c:v>
                </c:pt>
                <c:pt idx="7">
                  <c:v>1611.7087890625003</c:v>
                </c:pt>
                <c:pt idx="8">
                  <c:v>1606.2293457031251</c:v>
                </c:pt>
                <c:pt idx="9">
                  <c:v>1594.5822875976562</c:v>
                </c:pt>
                <c:pt idx="10">
                  <c:v>1583.4131866455077</c:v>
                </c:pt>
                <c:pt idx="11">
                  <c:v>1567.1253395080566</c:v>
                </c:pt>
                <c:pt idx="12">
                  <c:v>1570.0750810623167</c:v>
                </c:pt>
                <c:pt idx="13">
                  <c:v>1540.8811815738675</c:v>
                </c:pt>
                <c:pt idx="14">
                  <c:v>1528.6639364361763</c:v>
                </c:pt>
                <c:pt idx="15">
                  <c:v>1522.9393297582867</c:v>
                </c:pt>
                <c:pt idx="16">
                  <c:v>1523.04219397977</c:v>
                </c:pt>
                <c:pt idx="17">
                  <c:v>1517.1580775955692</c:v>
                </c:pt>
                <c:pt idx="18">
                  <c:v>1535.3515000045766</c:v>
                </c:pt>
                <c:pt idx="19">
                  <c:v>1551.5853362079361</c:v>
                </c:pt>
                <c:pt idx="20">
                  <c:v>1551.6309202576319</c:v>
                </c:pt>
                <c:pt idx="21">
                  <c:v>1551.1209822180715</c:v>
                </c:pt>
                <c:pt idx="22">
                  <c:v>1593.6857676437737</c:v>
                </c:pt>
                <c:pt idx="23">
                  <c:v>1577.396718445681</c:v>
                </c:pt>
                <c:pt idx="24">
                  <c:v>1561.1280142352148</c:v>
                </c:pt>
                <c:pt idx="25">
                  <c:v>1544.636658571178</c:v>
                </c:pt>
                <c:pt idx="26">
                  <c:v>1519.2318160963648</c:v>
                </c:pt>
                <c:pt idx="27">
                  <c:v>1534.646440834867</c:v>
                </c:pt>
                <c:pt idx="28">
                  <c:v>1555.2421429954013</c:v>
                </c:pt>
                <c:pt idx="29">
                  <c:v>1545.9294583268181</c:v>
                </c:pt>
                <c:pt idx="30">
                  <c:v>1551.2157514108219</c:v>
                </c:pt>
                <c:pt idx="31">
                  <c:v>1548.0299601001184</c:v>
                </c:pt>
                <c:pt idx="32">
                  <c:v>1547.7045744197371</c:v>
                </c:pt>
                <c:pt idx="33">
                  <c:v>1548.3157379746121</c:v>
                </c:pt>
                <c:pt idx="34">
                  <c:v>1543.8173852583966</c:v>
                </c:pt>
                <c:pt idx="35">
                  <c:v>1576.0138625856894</c:v>
                </c:pt>
                <c:pt idx="36">
                  <c:v>1586.7086356029138</c:v>
                </c:pt>
                <c:pt idx="37">
                  <c:v>1562.3038632107975</c:v>
                </c:pt>
                <c:pt idx="38">
                  <c:v>1555.12551121204</c:v>
                </c:pt>
                <c:pt idx="39">
                  <c:v>1555.4549574096511</c:v>
                </c:pt>
                <c:pt idx="40">
                  <c:v>1560.955941156044</c:v>
                </c:pt>
                <c:pt idx="41">
                  <c:v>1543.4924477402294</c:v>
                </c:pt>
                <c:pt idx="42">
                  <c:v>1556.0375890972648</c:v>
                </c:pt>
                <c:pt idx="43">
                  <c:v>1544.5757625014664</c:v>
                </c:pt>
                <c:pt idx="44">
                  <c:v>1557.3759085782006</c:v>
                </c:pt>
                <c:pt idx="45">
                  <c:v>1543.0570044720175</c:v>
                </c:pt>
                <c:pt idx="46">
                  <c:v>1556.6333013009214</c:v>
                </c:pt>
                <c:pt idx="47">
                  <c:v>1573.138124390143</c:v>
                </c:pt>
                <c:pt idx="48">
                  <c:v>1577.7560048372184</c:v>
                </c:pt>
                <c:pt idx="49">
                  <c:v>1562.3009438514514</c:v>
                </c:pt>
                <c:pt idx="50">
                  <c:v>1570.8731773957049</c:v>
                </c:pt>
                <c:pt idx="51">
                  <c:v>1577.0409998189054</c:v>
                </c:pt>
                <c:pt idx="52">
                  <c:v>1576.5396610757793</c:v>
                </c:pt>
                <c:pt idx="53">
                  <c:v>1581.9040764352712</c:v>
                </c:pt>
                <c:pt idx="54">
                  <c:v>1591.7352650061994</c:v>
                </c:pt>
                <c:pt idx="55">
                  <c:v>1578.2420430401137</c:v>
                </c:pt>
                <c:pt idx="56">
                  <c:v>1584.0099212970426</c:v>
                </c:pt>
                <c:pt idx="57">
                  <c:v>1466.9163801012462</c:v>
                </c:pt>
                <c:pt idx="58">
                  <c:v>1259.7905144780364</c:v>
                </c:pt>
                <c:pt idx="59">
                  <c:v>1534.3299530469224</c:v>
                </c:pt>
                <c:pt idx="60">
                  <c:v>1593.2171840696349</c:v>
                </c:pt>
                <c:pt idx="61">
                  <c:v>1659.9065035635824</c:v>
                </c:pt>
                <c:pt idx="62">
                  <c:v>1565.5495374196607</c:v>
                </c:pt>
                <c:pt idx="63">
                  <c:v>1491.8836699927845</c:v>
                </c:pt>
                <c:pt idx="64">
                  <c:v>1541.6548187811502</c:v>
                </c:pt>
                <c:pt idx="65">
                  <c:v>1742.6266884800457</c:v>
                </c:pt>
                <c:pt idx="66">
                  <c:v>1778.705951209482</c:v>
                </c:pt>
                <c:pt idx="67">
                  <c:v>1760.0690947718297</c:v>
                </c:pt>
                <c:pt idx="68">
                  <c:v>1726.3333928600459</c:v>
                </c:pt>
                <c:pt idx="69">
                  <c:v>1781.0571936891427</c:v>
                </c:pt>
                <c:pt idx="70">
                  <c:v>1755.304795681405</c:v>
                </c:pt>
                <c:pt idx="71">
                  <c:v>1701.5523977571854</c:v>
                </c:pt>
                <c:pt idx="72">
                  <c:v>1587.4380993557791</c:v>
                </c:pt>
                <c:pt idx="73">
                  <c:v>1397.1214253161313</c:v>
                </c:pt>
                <c:pt idx="74">
                  <c:v>1170.7827319672745</c:v>
                </c:pt>
                <c:pt idx="75">
                  <c:v>1080.1927023010273</c:v>
                </c:pt>
                <c:pt idx="76">
                  <c:v>1291.6495118926468</c:v>
                </c:pt>
                <c:pt idx="77">
                  <c:v>1661.9155387152948</c:v>
                </c:pt>
                <c:pt idx="78">
                  <c:v>1718.4946674477953</c:v>
                </c:pt>
                <c:pt idx="79">
                  <c:v>1747.7855649520966</c:v>
                </c:pt>
                <c:pt idx="80">
                  <c:v>1825.1346224662232</c:v>
                </c:pt>
                <c:pt idx="81">
                  <c:v>1882.2254956067306</c:v>
                </c:pt>
                <c:pt idx="82">
                  <c:v>1889.6895582753016</c:v>
                </c:pt>
                <c:pt idx="83">
                  <c:v>1903.7242000407618</c:v>
                </c:pt>
                <c:pt idx="84">
                  <c:v>1901.3604709133017</c:v>
                </c:pt>
                <c:pt idx="85">
                  <c:v>1901.8134886212461</c:v>
                </c:pt>
                <c:pt idx="86">
                  <c:v>1911.4366253199069</c:v>
                </c:pt>
                <c:pt idx="87">
                  <c:v>1907.7140373392606</c:v>
                </c:pt>
                <c:pt idx="88">
                  <c:v>1906.8242340141221</c:v>
                </c:pt>
                <c:pt idx="89">
                  <c:v>1912.9982738480223</c:v>
                </c:pt>
                <c:pt idx="90">
                  <c:v>1813.285725302967</c:v>
                </c:pt>
                <c:pt idx="91">
                  <c:v>1849.8330197046976</c:v>
                </c:pt>
                <c:pt idx="92">
                  <c:v>1866.4734119793884</c:v>
                </c:pt>
                <c:pt idx="93">
                  <c:v>1889.2752551218866</c:v>
                </c:pt>
                <c:pt idx="94">
                  <c:v>1916.8823629126639</c:v>
                </c:pt>
                <c:pt idx="95">
                  <c:v>1922.3153260798867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AA-6340-A62D-A229B3664FEF}"/>
            </c:ext>
          </c:extLst>
        </c:ser>
        <c:ser>
          <c:idx val="2"/>
          <c:order val="2"/>
          <c:tx>
            <c:strRef>
              <c:f>'Exercise 1 HES'!$F$1</c:f>
              <c:strCache>
                <c:ptCount val="1"/>
                <c:pt idx="0">
                  <c:v>Out-of-sample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'Exercise 1 HES'!$A$2:$A$109</c:f>
              <c:numCache>
                <c:formatCode>mmm\-yyyy</c:formatCode>
                <c:ptCount val="108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</c:numCache>
            </c:numRef>
          </c:cat>
          <c:val>
            <c:numRef>
              <c:f>'Exercise 1 HES'!$F$2:$F$109</c:f>
              <c:numCache>
                <c:formatCode>0.00;\-0.00;0.00;@</c:formatCode>
                <c:ptCount val="108"/>
                <c:pt idx="95">
                  <c:v>1922.3153260798867</c:v>
                </c:pt>
                <c:pt idx="96">
                  <c:v>1852.6279761435264</c:v>
                </c:pt>
                <c:pt idx="97">
                  <c:v>1837.0482892471096</c:v>
                </c:pt>
                <c:pt idx="98">
                  <c:v>1821.4686023506927</c:v>
                </c:pt>
                <c:pt idx="99">
                  <c:v>1805.8889154542755</c:v>
                </c:pt>
                <c:pt idx="100">
                  <c:v>1790.3092285578587</c:v>
                </c:pt>
                <c:pt idx="101">
                  <c:v>1774.7295416614418</c:v>
                </c:pt>
                <c:pt idx="102">
                  <c:v>1759.1498547650249</c:v>
                </c:pt>
                <c:pt idx="103">
                  <c:v>1743.570167868608</c:v>
                </c:pt>
                <c:pt idx="104">
                  <c:v>1727.9904809721911</c:v>
                </c:pt>
                <c:pt idx="105">
                  <c:v>1712.4107940757742</c:v>
                </c:pt>
                <c:pt idx="106">
                  <c:v>1696.8311071793573</c:v>
                </c:pt>
                <c:pt idx="107">
                  <c:v>1681.2514202829402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AA-6340-A62D-A229B3664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8032287"/>
        <c:axId val="558033999"/>
      </c:lineChart>
      <c:dateAx>
        <c:axId val="558032287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033999"/>
        <c:crosses val="autoZero"/>
        <c:auto val="1"/>
        <c:lblOffset val="100"/>
        <c:baseTimeUnit val="months"/>
      </c:dateAx>
      <c:valAx>
        <c:axId val="55803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;\-0.0;0.0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03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'Exercise 1 HES'!$H$1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'Exercise 1 HES'!$H$2:$H$97</c:f>
              <c:numCache>
                <c:formatCode>0.00_);\(0.00\)</c:formatCode>
                <c:ptCount val="96"/>
                <c:pt idx="1">
                  <c:v>0</c:v>
                </c:pt>
                <c:pt idx="2">
                  <c:v>-44.999999999999773</c:v>
                </c:pt>
                <c:pt idx="3">
                  <c:v>38.150000000000091</c:v>
                </c:pt>
                <c:pt idx="4">
                  <c:v>18.287499999999909</c:v>
                </c:pt>
                <c:pt idx="5">
                  <c:v>8.1843750000000455</c:v>
                </c:pt>
                <c:pt idx="6">
                  <c:v>16.386718749999773</c:v>
                </c:pt>
                <c:pt idx="7">
                  <c:v>-20.108789062500364</c:v>
                </c:pt>
                <c:pt idx="8">
                  <c:v>-21.629345703125182</c:v>
                </c:pt>
                <c:pt idx="9">
                  <c:v>-13.78228759765625</c:v>
                </c:pt>
                <c:pt idx="10">
                  <c:v>-16.013186645507631</c:v>
                </c:pt>
                <c:pt idx="11">
                  <c:v>14.974660491943268</c:v>
                </c:pt>
                <c:pt idx="12">
                  <c:v>-32.875081062316667</c:v>
                </c:pt>
                <c:pt idx="13">
                  <c:v>0.71881842613242952</c:v>
                </c:pt>
                <c:pt idx="14">
                  <c:v>9.1360635638236545</c:v>
                </c:pt>
                <c:pt idx="15">
                  <c:v>13.860670241713251</c:v>
                </c:pt>
                <c:pt idx="16">
                  <c:v>1.2578060202299639</c:v>
                </c:pt>
                <c:pt idx="17">
                  <c:v>32.94192240443067</c:v>
                </c:pt>
                <c:pt idx="18">
                  <c:v>19.348499995423481</c:v>
                </c:pt>
                <c:pt idx="19">
                  <c:v>-8.6853362079359613</c:v>
                </c:pt>
                <c:pt idx="20">
                  <c:v>-6.5309202576320331</c:v>
                </c:pt>
                <c:pt idx="21">
                  <c:v>53.079017781928542</c:v>
                </c:pt>
                <c:pt idx="22">
                  <c:v>-43.085767643773806</c:v>
                </c:pt>
                <c:pt idx="23">
                  <c:v>-28.696718445680972</c:v>
                </c:pt>
                <c:pt idx="24">
                  <c:v>-19.428014235214732</c:v>
                </c:pt>
                <c:pt idx="25">
                  <c:v>-24.836658571178077</c:v>
                </c:pt>
                <c:pt idx="26">
                  <c:v>37.868183903635099</c:v>
                </c:pt>
                <c:pt idx="27">
                  <c:v>32.153559165132947</c:v>
                </c:pt>
                <c:pt idx="28">
                  <c:v>-18.442142995401355</c:v>
                </c:pt>
                <c:pt idx="29">
                  <c:v>7.1705416731817877</c:v>
                </c:pt>
                <c:pt idx="30">
                  <c:v>-6.5157514108218493</c:v>
                </c:pt>
                <c:pt idx="31">
                  <c:v>-0.52996010011838734</c:v>
                </c:pt>
                <c:pt idx="32">
                  <c:v>0.8954255802627813</c:v>
                </c:pt>
                <c:pt idx="33">
                  <c:v>-6.2157379746122388</c:v>
                </c:pt>
                <c:pt idx="34">
                  <c:v>44.782614741603311</c:v>
                </c:pt>
                <c:pt idx="35">
                  <c:v>1.1861374143106787</c:v>
                </c:pt>
                <c:pt idx="36">
                  <c:v>-46.008635602913728</c:v>
                </c:pt>
                <c:pt idx="37">
                  <c:v>-7.7038632107976355</c:v>
                </c:pt>
                <c:pt idx="38">
                  <c:v>4.8744887879599901</c:v>
                </c:pt>
                <c:pt idx="39">
                  <c:v>10.145042590348794</c:v>
                </c:pt>
                <c:pt idx="40">
                  <c:v>-23.855941156044082</c:v>
                </c:pt>
                <c:pt idx="41">
                  <c:v>24.1075522597705</c:v>
                </c:pt>
                <c:pt idx="42">
                  <c:v>-15.93758909726489</c:v>
                </c:pt>
                <c:pt idx="43">
                  <c:v>21.724237498533512</c:v>
                </c:pt>
                <c:pt idx="44">
                  <c:v>-21.675908578200506</c:v>
                </c:pt>
                <c:pt idx="45">
                  <c:v>22.74299552798243</c:v>
                </c:pt>
                <c:pt idx="46">
                  <c:v>19.066698699078643</c:v>
                </c:pt>
                <c:pt idx="47">
                  <c:v>-3.138124390143048</c:v>
                </c:pt>
                <c:pt idx="48">
                  <c:v>-28.856004837218279</c:v>
                </c:pt>
                <c:pt idx="49">
                  <c:v>12.799056148548516</c:v>
                </c:pt>
                <c:pt idx="50">
                  <c:v>5.3268226042951028</c:v>
                </c:pt>
                <c:pt idx="51">
                  <c:v>-5.3409998189054022</c:v>
                </c:pt>
                <c:pt idx="52">
                  <c:v>4.2603389242206049</c:v>
                </c:pt>
                <c:pt idx="53">
                  <c:v>8.7959235647288097</c:v>
                </c:pt>
                <c:pt idx="54">
                  <c:v>-25.23526500619937</c:v>
                </c:pt>
                <c:pt idx="55">
                  <c:v>8.8579569598862236</c:v>
                </c:pt>
                <c:pt idx="56">
                  <c:v>-157.90992129704273</c:v>
                </c:pt>
                <c:pt idx="57">
                  <c:v>-225.3163801012463</c:v>
                </c:pt>
                <c:pt idx="58">
                  <c:v>492.0094855219636</c:v>
                </c:pt>
                <c:pt idx="59">
                  <c:v>40.470046953077599</c:v>
                </c:pt>
                <c:pt idx="60">
                  <c:v>37.382815930365041</c:v>
                </c:pt>
                <c:pt idx="61">
                  <c:v>-189.80650356358251</c:v>
                </c:pt>
                <c:pt idx="62">
                  <c:v>-98.949537419660828</c:v>
                </c:pt>
                <c:pt idx="63">
                  <c:v>98.616330007215538</c:v>
                </c:pt>
                <c:pt idx="64">
                  <c:v>267.3451812188498</c:v>
                </c:pt>
                <c:pt idx="65">
                  <c:v>-41.626688480045686</c:v>
                </c:pt>
                <c:pt idx="66">
                  <c:v>-100.70595120948201</c:v>
                </c:pt>
                <c:pt idx="67">
                  <c:v>-87.269094771829714</c:v>
                </c:pt>
                <c:pt idx="68">
                  <c:v>59.766607139953976</c:v>
                </c:pt>
                <c:pt idx="69">
                  <c:v>-67.457193689142741</c:v>
                </c:pt>
                <c:pt idx="70">
                  <c:v>-82.304795681405039</c:v>
                </c:pt>
                <c:pt idx="71">
                  <c:v>-135.35239775718537</c:v>
                </c:pt>
                <c:pt idx="72">
                  <c:v>-191.83809935577915</c:v>
                </c:pt>
                <c:pt idx="73">
                  <c:v>-175.92142531613126</c:v>
                </c:pt>
                <c:pt idx="74">
                  <c:v>63.717268032725542</c:v>
                </c:pt>
                <c:pt idx="75">
                  <c:v>445.20729769897275</c:v>
                </c:pt>
                <c:pt idx="76">
                  <c:v>508.5504881073532</c:v>
                </c:pt>
                <c:pt idx="77">
                  <c:v>-79.21553871529477</c:v>
                </c:pt>
                <c:pt idx="78">
                  <c:v>-89.194667447795382</c:v>
                </c:pt>
                <c:pt idx="79">
                  <c:v>4.6144350479034983</c:v>
                </c:pt>
                <c:pt idx="80">
                  <c:v>-23.934622466223118</c:v>
                </c:pt>
                <c:pt idx="81">
                  <c:v>-82.125495606730738</c:v>
                </c:pt>
                <c:pt idx="82">
                  <c:v>-45.989558275301533</c:v>
                </c:pt>
                <c:pt idx="83">
                  <c:v>-52.524200040761798</c:v>
                </c:pt>
                <c:pt idx="84">
                  <c:v>-31.260470913301788</c:v>
                </c:pt>
                <c:pt idx="85">
                  <c:v>-8.613488621246006</c:v>
                </c:pt>
                <c:pt idx="86">
                  <c:v>-23.536625319906761</c:v>
                </c:pt>
                <c:pt idx="87">
                  <c:v>-11.914037339260631</c:v>
                </c:pt>
                <c:pt idx="88">
                  <c:v>1.4757659858778425</c:v>
                </c:pt>
                <c:pt idx="89">
                  <c:v>-140.19827384802238</c:v>
                </c:pt>
                <c:pt idx="90">
                  <c:v>88.214274697033034</c:v>
                </c:pt>
                <c:pt idx="91">
                  <c:v>32.266980295302346</c:v>
                </c:pt>
                <c:pt idx="92">
                  <c:v>29.726588020611644</c:v>
                </c:pt>
                <c:pt idx="93">
                  <c:v>26.22474487811337</c:v>
                </c:pt>
                <c:pt idx="94">
                  <c:v>-12.082362912663939</c:v>
                </c:pt>
                <c:pt idx="95">
                  <c:v>-108.21532607988684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1A-AE45-9A51-A85C9D03E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697663"/>
        <c:axId val="383284015"/>
      </c:scatterChart>
      <c:valAx>
        <c:axId val="80569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284015"/>
        <c:crosses val="autoZero"/>
        <c:crossBetween val="midCat"/>
      </c:valAx>
      <c:valAx>
        <c:axId val="38328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69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Correlogram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acf</c:v>
          </c:tx>
          <c:invertIfNegative val="0"/>
          <c:cat>
            <c:numRef>
              <c:f>'Exercise 1 HES (Optimised)'!$R$11:$R$35</c:f>
              <c:numCache>
                <c:formatCode>General</c:formatCode>
                <c:ptCount val="25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'Exercise 1 HES (Optimised)'!$S$11:$S$35</c:f>
              <c:numCache>
                <c:formatCode>General</c:formatCode>
                <c:ptCount val="25"/>
                <c:pt idx="1">
                  <c:v>6.9547114993361456E-2</c:v>
                </c:pt>
                <c:pt idx="2">
                  <c:v>-0.17912753148475932</c:v>
                </c:pt>
                <c:pt idx="3">
                  <c:v>-0.20556224055019842</c:v>
                </c:pt>
                <c:pt idx="4">
                  <c:v>5.093676447485848E-3</c:v>
                </c:pt>
                <c:pt idx="5">
                  <c:v>5.568538530690996E-2</c:v>
                </c:pt>
                <c:pt idx="6">
                  <c:v>8.1375085136156933E-2</c:v>
                </c:pt>
                <c:pt idx="7">
                  <c:v>-0.17792579736667735</c:v>
                </c:pt>
                <c:pt idx="8">
                  <c:v>-8.8097707624641447E-2</c:v>
                </c:pt>
                <c:pt idx="9">
                  <c:v>-0.13923730840614545</c:v>
                </c:pt>
                <c:pt idx="10">
                  <c:v>-2.8716261093312778E-2</c:v>
                </c:pt>
                <c:pt idx="11">
                  <c:v>6.2687843800480827E-2</c:v>
                </c:pt>
                <c:pt idx="12">
                  <c:v>0.1772350546540174</c:v>
                </c:pt>
                <c:pt idx="13">
                  <c:v>-0.1066267184839972</c:v>
                </c:pt>
                <c:pt idx="14">
                  <c:v>-0.17172409991163715</c:v>
                </c:pt>
                <c:pt idx="15">
                  <c:v>-1.4212929680156651E-2</c:v>
                </c:pt>
                <c:pt idx="16">
                  <c:v>0.13033068523486921</c:v>
                </c:pt>
                <c:pt idx="17">
                  <c:v>0.23819276619666252</c:v>
                </c:pt>
                <c:pt idx="18">
                  <c:v>0.1226099973296876</c:v>
                </c:pt>
                <c:pt idx="19">
                  <c:v>-0.26563841559083795</c:v>
                </c:pt>
                <c:pt idx="20">
                  <c:v>-7.128747316181154E-2</c:v>
                </c:pt>
                <c:pt idx="21">
                  <c:v>7.4880063046141282E-2</c:v>
                </c:pt>
                <c:pt idx="22">
                  <c:v>4.7931541141039771E-3</c:v>
                </c:pt>
                <c:pt idx="23">
                  <c:v>-8.6890583745276341E-3</c:v>
                </c:pt>
                <c:pt idx="24">
                  <c:v>3.3068329906637897E-2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33D-A346-A01B-4BD2FD282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3238672"/>
        <c:axId val="1387074112"/>
      </c:barChart>
      <c:lineChart>
        <c:grouping val="standard"/>
        <c:varyColors val="0"/>
        <c:ser>
          <c:idx val="0"/>
          <c:order val="0"/>
          <c:tx>
            <c:strRef>
              <c:f>'Exercise 1 HES (Optimised)'!$T$10</c:f>
              <c:strCache>
                <c:ptCount val="1"/>
                <c:pt idx="0">
                  <c:v>lower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'Exercise 1 HES (Optimised)'!$R$11:$R$35</c:f>
              <c:numCache>
                <c:formatCode>General</c:formatCode>
                <c:ptCount val="25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'Exercise 1 HES (Optimised)'!$T$11:$T$35</c:f>
              <c:numCache>
                <c:formatCode>General</c:formatCode>
                <c:ptCount val="25"/>
                <c:pt idx="1">
                  <c:v>-0.20108806190046569</c:v>
                </c:pt>
                <c:pt idx="2">
                  <c:v>-0.20205834399711736</c:v>
                </c:pt>
                <c:pt idx="3">
                  <c:v>-0.20838069484455302</c:v>
                </c:pt>
                <c:pt idx="4">
                  <c:v>-0.21642518888925075</c:v>
                </c:pt>
                <c:pt idx="5">
                  <c:v>-0.21643003644282691</c:v>
                </c:pt>
                <c:pt idx="6">
                  <c:v>-0.21700860842748765</c:v>
                </c:pt>
                <c:pt idx="7">
                  <c:v>-0.21823901622475916</c:v>
                </c:pt>
                <c:pt idx="8">
                  <c:v>-0.22402791487493159</c:v>
                </c:pt>
                <c:pt idx="9">
                  <c:v>-0.2254244379943699</c:v>
                </c:pt>
                <c:pt idx="10">
                  <c:v>-0.2288756448866964</c:v>
                </c:pt>
                <c:pt idx="11">
                  <c:v>-0.22902128822484144</c:v>
                </c:pt>
                <c:pt idx="12">
                  <c:v>-0.22971408683066741</c:v>
                </c:pt>
                <c:pt idx="13">
                  <c:v>-0.23517857050245808</c:v>
                </c:pt>
                <c:pt idx="14">
                  <c:v>-0.23712533368491132</c:v>
                </c:pt>
                <c:pt idx="15">
                  <c:v>-0.24210182950245837</c:v>
                </c:pt>
                <c:pt idx="16">
                  <c:v>-0.24213556689087981</c:v>
                </c:pt>
                <c:pt idx="17">
                  <c:v>-0.24495580316729534</c:v>
                </c:pt>
                <c:pt idx="18">
                  <c:v>-0.25414902910686987</c:v>
                </c:pt>
                <c:pt idx="19">
                  <c:v>-0.2565297393252276</c:v>
                </c:pt>
                <c:pt idx="20">
                  <c:v>-0.26742138631947776</c:v>
                </c:pt>
                <c:pt idx="21">
                  <c:v>-0.26818871292595753</c:v>
                </c:pt>
                <c:pt idx="22">
                  <c:v>-0.26903278899701277</c:v>
                </c:pt>
                <c:pt idx="23">
                  <c:v>-0.2690362420827519</c:v>
                </c:pt>
                <c:pt idx="24">
                  <c:v>-0.26904758952705282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3D-A346-A01B-4BD2FD282375}"/>
            </c:ext>
          </c:extLst>
        </c:ser>
        <c:ser>
          <c:idx val="1"/>
          <c:order val="1"/>
          <c:tx>
            <c:strRef>
              <c:f>'Exercise 1 HES (Optimised)'!$U$10</c:f>
              <c:strCache>
                <c:ptCount val="1"/>
                <c:pt idx="0">
                  <c:v>upper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val>
            <c:numRef>
              <c:f>'Exercise 1 HES (Optimised)'!$U$11:$U$35</c:f>
              <c:numCache>
                <c:formatCode>General</c:formatCode>
                <c:ptCount val="25"/>
                <c:pt idx="1">
                  <c:v>0.20108806190046569</c:v>
                </c:pt>
                <c:pt idx="2">
                  <c:v>0.20205834399711736</c:v>
                </c:pt>
                <c:pt idx="3">
                  <c:v>0.20838069484455302</c:v>
                </c:pt>
                <c:pt idx="4">
                  <c:v>0.21642518888925075</c:v>
                </c:pt>
                <c:pt idx="5">
                  <c:v>0.21643003644282691</c:v>
                </c:pt>
                <c:pt idx="6">
                  <c:v>0.21700860842748765</c:v>
                </c:pt>
                <c:pt idx="7">
                  <c:v>0.21823901622475916</c:v>
                </c:pt>
                <c:pt idx="8">
                  <c:v>0.22402791487493159</c:v>
                </c:pt>
                <c:pt idx="9">
                  <c:v>0.2254244379943699</c:v>
                </c:pt>
                <c:pt idx="10">
                  <c:v>0.2288756448866964</c:v>
                </c:pt>
                <c:pt idx="11">
                  <c:v>0.22902128822484144</c:v>
                </c:pt>
                <c:pt idx="12">
                  <c:v>0.22971408683066741</c:v>
                </c:pt>
                <c:pt idx="13">
                  <c:v>0.23517857050245808</c:v>
                </c:pt>
                <c:pt idx="14">
                  <c:v>0.23712533368491132</c:v>
                </c:pt>
                <c:pt idx="15">
                  <c:v>0.24210182950245837</c:v>
                </c:pt>
                <c:pt idx="16">
                  <c:v>0.24213556689087981</c:v>
                </c:pt>
                <c:pt idx="17">
                  <c:v>0.24495580316729534</c:v>
                </c:pt>
                <c:pt idx="18">
                  <c:v>0.25414902910686987</c:v>
                </c:pt>
                <c:pt idx="19">
                  <c:v>0.2565297393252276</c:v>
                </c:pt>
                <c:pt idx="20">
                  <c:v>0.26742138631947776</c:v>
                </c:pt>
                <c:pt idx="21">
                  <c:v>0.26818871292595753</c:v>
                </c:pt>
                <c:pt idx="22">
                  <c:v>0.26903278899701277</c:v>
                </c:pt>
                <c:pt idx="23">
                  <c:v>0.2690362420827519</c:v>
                </c:pt>
                <c:pt idx="24">
                  <c:v>0.26904758952705282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3D-A346-A01B-4BD2FD282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3238672"/>
        <c:axId val="1387074112"/>
      </c:lineChart>
      <c:catAx>
        <c:axId val="213323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7074112"/>
        <c:crosses val="autoZero"/>
        <c:auto val="1"/>
        <c:lblAlgn val="ctr"/>
        <c:lblOffset val="100"/>
        <c:noMultiLvlLbl val="0"/>
      </c:catAx>
      <c:valAx>
        <c:axId val="1387074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3238672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Actual data (July 2015 - June 2023) vs. Within and Out-of-sample Forecast for Total State Department Stores Turnover (Seasonally-Adjusted Data)</a:t>
            </a:r>
            <a:endParaRPr lang="en-GB" sz="1400" b="0" i="0" u="none" strike="noStrike" kern="1200" cap="none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'Exercise 1 HES (Optimised)'!$B$1</c:f>
              <c:strCache>
                <c:ptCount val="1"/>
                <c:pt idx="0">
                  <c:v>Total Department stores Turnover in $ millions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'Exercise 1 HES (Optimised)'!$A$2:$A$109</c:f>
              <c:numCache>
                <c:formatCode>mmm\-yyyy</c:formatCode>
                <c:ptCount val="108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</c:numCache>
            </c:numRef>
          </c:cat>
          <c:val>
            <c:numRef>
              <c:f>'Exercise 1 HES (Optimised)'!$B$2:$B$109</c:f>
              <c:numCache>
                <c:formatCode>0.0;\-0.0;0.0;@</c:formatCode>
                <c:ptCount val="108"/>
                <c:pt idx="0">
                  <c:v>1585.7</c:v>
                </c:pt>
                <c:pt idx="1">
                  <c:v>1586.3</c:v>
                </c:pt>
                <c:pt idx="2">
                  <c:v>1541.9</c:v>
                </c:pt>
                <c:pt idx="3">
                  <c:v>1591.9</c:v>
                </c:pt>
                <c:pt idx="4">
                  <c:v>1590</c:v>
                </c:pt>
                <c:pt idx="5">
                  <c:v>1592.5</c:v>
                </c:pt>
                <c:pt idx="6">
                  <c:v>1610.3</c:v>
                </c:pt>
                <c:pt idx="7">
                  <c:v>1591.6</c:v>
                </c:pt>
                <c:pt idx="8">
                  <c:v>1584.6</c:v>
                </c:pt>
                <c:pt idx="9">
                  <c:v>1580.8</c:v>
                </c:pt>
                <c:pt idx="10">
                  <c:v>1567.4</c:v>
                </c:pt>
                <c:pt idx="11">
                  <c:v>1582.1</c:v>
                </c:pt>
                <c:pt idx="12">
                  <c:v>1537.2</c:v>
                </c:pt>
                <c:pt idx="13">
                  <c:v>1541.6</c:v>
                </c:pt>
                <c:pt idx="14">
                  <c:v>1537.8</c:v>
                </c:pt>
                <c:pt idx="15">
                  <c:v>1536.8</c:v>
                </c:pt>
                <c:pt idx="16">
                  <c:v>1524.3</c:v>
                </c:pt>
                <c:pt idx="17">
                  <c:v>1550.1</c:v>
                </c:pt>
                <c:pt idx="18">
                  <c:v>1554.7</c:v>
                </c:pt>
                <c:pt idx="19">
                  <c:v>1542.9</c:v>
                </c:pt>
                <c:pt idx="20">
                  <c:v>1545.1</c:v>
                </c:pt>
                <c:pt idx="21">
                  <c:v>1604.2</c:v>
                </c:pt>
                <c:pt idx="22">
                  <c:v>1550.6</c:v>
                </c:pt>
                <c:pt idx="23">
                  <c:v>1548.7</c:v>
                </c:pt>
                <c:pt idx="24">
                  <c:v>1541.7</c:v>
                </c:pt>
                <c:pt idx="25">
                  <c:v>1519.8</c:v>
                </c:pt>
                <c:pt idx="26">
                  <c:v>1557.1</c:v>
                </c:pt>
                <c:pt idx="27">
                  <c:v>1566.8</c:v>
                </c:pt>
                <c:pt idx="28">
                  <c:v>1536.8</c:v>
                </c:pt>
                <c:pt idx="29">
                  <c:v>1553.1</c:v>
                </c:pt>
                <c:pt idx="30">
                  <c:v>1544.7</c:v>
                </c:pt>
                <c:pt idx="31">
                  <c:v>1547.5</c:v>
                </c:pt>
                <c:pt idx="32">
                  <c:v>1548.6</c:v>
                </c:pt>
                <c:pt idx="33">
                  <c:v>1542.1</c:v>
                </c:pt>
                <c:pt idx="34">
                  <c:v>1588.6</c:v>
                </c:pt>
                <c:pt idx="35">
                  <c:v>1577.2</c:v>
                </c:pt>
                <c:pt idx="36">
                  <c:v>1540.7</c:v>
                </c:pt>
                <c:pt idx="37">
                  <c:v>1554.6</c:v>
                </c:pt>
                <c:pt idx="38">
                  <c:v>1560</c:v>
                </c:pt>
                <c:pt idx="39">
                  <c:v>1565.6</c:v>
                </c:pt>
                <c:pt idx="40">
                  <c:v>1537.1</c:v>
                </c:pt>
                <c:pt idx="41">
                  <c:v>1567.6</c:v>
                </c:pt>
                <c:pt idx="42">
                  <c:v>1540.1</c:v>
                </c:pt>
                <c:pt idx="43">
                  <c:v>1566.3</c:v>
                </c:pt>
                <c:pt idx="44">
                  <c:v>1535.7</c:v>
                </c:pt>
                <c:pt idx="45">
                  <c:v>1565.8</c:v>
                </c:pt>
                <c:pt idx="46">
                  <c:v>1575.7</c:v>
                </c:pt>
                <c:pt idx="47">
                  <c:v>1570</c:v>
                </c:pt>
                <c:pt idx="48">
                  <c:v>1548.9</c:v>
                </c:pt>
                <c:pt idx="49">
                  <c:v>1575.1</c:v>
                </c:pt>
                <c:pt idx="50">
                  <c:v>1576.2</c:v>
                </c:pt>
                <c:pt idx="51">
                  <c:v>1571.7</c:v>
                </c:pt>
                <c:pt idx="52">
                  <c:v>1580.8</c:v>
                </c:pt>
                <c:pt idx="53">
                  <c:v>1590.7</c:v>
                </c:pt>
                <c:pt idx="54">
                  <c:v>1566.5</c:v>
                </c:pt>
                <c:pt idx="55">
                  <c:v>1587.1</c:v>
                </c:pt>
                <c:pt idx="56">
                  <c:v>1426.1</c:v>
                </c:pt>
                <c:pt idx="57">
                  <c:v>1241.5999999999999</c:v>
                </c:pt>
                <c:pt idx="58">
                  <c:v>1751.8</c:v>
                </c:pt>
                <c:pt idx="59">
                  <c:v>1574.8</c:v>
                </c:pt>
                <c:pt idx="60">
                  <c:v>1630.6</c:v>
                </c:pt>
                <c:pt idx="61">
                  <c:v>1470.1</c:v>
                </c:pt>
                <c:pt idx="62">
                  <c:v>1466.6</c:v>
                </c:pt>
                <c:pt idx="63">
                  <c:v>1590.5</c:v>
                </c:pt>
                <c:pt idx="64">
                  <c:v>1809</c:v>
                </c:pt>
                <c:pt idx="65">
                  <c:v>1701</c:v>
                </c:pt>
                <c:pt idx="66">
                  <c:v>1678</c:v>
                </c:pt>
                <c:pt idx="67">
                  <c:v>1672.8</c:v>
                </c:pt>
                <c:pt idx="68">
                  <c:v>1786.1</c:v>
                </c:pt>
                <c:pt idx="69">
                  <c:v>1713.6</c:v>
                </c:pt>
                <c:pt idx="70">
                  <c:v>1673</c:v>
                </c:pt>
                <c:pt idx="71">
                  <c:v>1566.2</c:v>
                </c:pt>
                <c:pt idx="72">
                  <c:v>1395.6</c:v>
                </c:pt>
                <c:pt idx="73">
                  <c:v>1221.2</c:v>
                </c:pt>
                <c:pt idx="74">
                  <c:v>1234.5</c:v>
                </c:pt>
                <c:pt idx="75">
                  <c:v>1525.4</c:v>
                </c:pt>
                <c:pt idx="76">
                  <c:v>1800.2</c:v>
                </c:pt>
                <c:pt idx="77">
                  <c:v>1582.7</c:v>
                </c:pt>
                <c:pt idx="78">
                  <c:v>1629.3</c:v>
                </c:pt>
                <c:pt idx="79">
                  <c:v>1752.4</c:v>
                </c:pt>
                <c:pt idx="80">
                  <c:v>1801.2</c:v>
                </c:pt>
                <c:pt idx="81">
                  <c:v>1800.1</c:v>
                </c:pt>
                <c:pt idx="82">
                  <c:v>1843.7</c:v>
                </c:pt>
                <c:pt idx="83">
                  <c:v>1851.2</c:v>
                </c:pt>
                <c:pt idx="84">
                  <c:v>1870.1</c:v>
                </c:pt>
                <c:pt idx="85">
                  <c:v>1893.2</c:v>
                </c:pt>
                <c:pt idx="86">
                  <c:v>1887.9</c:v>
                </c:pt>
                <c:pt idx="87">
                  <c:v>1895.8</c:v>
                </c:pt>
                <c:pt idx="88">
                  <c:v>1908.3</c:v>
                </c:pt>
                <c:pt idx="89">
                  <c:v>1772.8</c:v>
                </c:pt>
                <c:pt idx="90">
                  <c:v>1901.5</c:v>
                </c:pt>
                <c:pt idx="91">
                  <c:v>1882.1</c:v>
                </c:pt>
                <c:pt idx="92">
                  <c:v>1896.2</c:v>
                </c:pt>
                <c:pt idx="93">
                  <c:v>1915.5</c:v>
                </c:pt>
                <c:pt idx="94">
                  <c:v>1904.8</c:v>
                </c:pt>
                <c:pt idx="95">
                  <c:v>1814.1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B1-7E49-A514-2351811B5551}"/>
            </c:ext>
          </c:extLst>
        </c:ser>
        <c:ser>
          <c:idx val="1"/>
          <c:order val="1"/>
          <c:tx>
            <c:strRef>
              <c:f>'Exercise 1 HES (Optimised)'!$E$1</c:f>
              <c:strCache>
                <c:ptCount val="1"/>
                <c:pt idx="0">
                  <c:v>Within Sample Forecast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'Exercise 1 HES (Optimised)'!$A$2:$A$109</c:f>
              <c:numCache>
                <c:formatCode>mmm\-yyyy</c:formatCode>
                <c:ptCount val="108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</c:numCache>
            </c:numRef>
          </c:cat>
          <c:val>
            <c:numRef>
              <c:f>'Exercise 1 HES (Optimised)'!$E$2:$E$109</c:f>
              <c:numCache>
                <c:formatCode>0.00;\-0.00;0.00;@</c:formatCode>
                <c:ptCount val="108"/>
                <c:pt idx="1">
                  <c:v>1586.3</c:v>
                </c:pt>
                <c:pt idx="2">
                  <c:v>1586.9</c:v>
                </c:pt>
                <c:pt idx="3">
                  <c:v>1555.9986964625666</c:v>
                </c:pt>
                <c:pt idx="4">
                  <c:v>1581.7306489097268</c:v>
                </c:pt>
                <c:pt idx="5">
                  <c:v>1588.1194342153335</c:v>
                </c:pt>
                <c:pt idx="6">
                  <c:v>1591.7859571586328</c:v>
                </c:pt>
                <c:pt idx="7">
                  <c:v>1605.3463234530982</c:v>
                </c:pt>
                <c:pt idx="8">
                  <c:v>1596.3234988393251</c:v>
                </c:pt>
                <c:pt idx="9">
                  <c:v>1588.716710051362</c:v>
                </c:pt>
                <c:pt idx="10">
                  <c:v>1583.7747836881217</c:v>
                </c:pt>
                <c:pt idx="11">
                  <c:v>1572.9119607699145</c:v>
                </c:pt>
                <c:pt idx="12">
                  <c:v>1579.9438543854869</c:v>
                </c:pt>
                <c:pt idx="13">
                  <c:v>1550.6219181331076</c:v>
                </c:pt>
                <c:pt idx="14">
                  <c:v>1544.9063140975318</c:v>
                </c:pt>
                <c:pt idx="15">
                  <c:v>1540.5316883771163</c:v>
                </c:pt>
                <c:pt idx="16">
                  <c:v>1538.5193984154571</c:v>
                </c:pt>
                <c:pt idx="17">
                  <c:v>1529.1654076242344</c:v>
                </c:pt>
                <c:pt idx="18">
                  <c:v>1544.4202287100438</c:v>
                </c:pt>
                <c:pt idx="19">
                  <c:v>1552.2163663922727</c:v>
                </c:pt>
                <c:pt idx="20">
                  <c:v>1546.294640045852</c:v>
                </c:pt>
                <c:pt idx="21">
                  <c:v>1546.0583574080215</c:v>
                </c:pt>
                <c:pt idx="22">
                  <c:v>1587.3591914403521</c:v>
                </c:pt>
                <c:pt idx="23">
                  <c:v>1562.226692610282</c:v>
                </c:pt>
                <c:pt idx="24">
                  <c:v>1553.3576159486365</c:v>
                </c:pt>
                <c:pt idx="25">
                  <c:v>1545.7969470926182</c:v>
                </c:pt>
                <c:pt idx="26">
                  <c:v>1528.1983310612588</c:v>
                </c:pt>
                <c:pt idx="27">
                  <c:v>1549.0303365274299</c:v>
                </c:pt>
                <c:pt idx="28">
                  <c:v>1562.0696157009293</c:v>
                </c:pt>
                <c:pt idx="29">
                  <c:v>1544.9801527127233</c:v>
                </c:pt>
                <c:pt idx="30">
                  <c:v>1551.2642810254811</c:v>
                </c:pt>
                <c:pt idx="31">
                  <c:v>1547.2690941568433</c:v>
                </c:pt>
                <c:pt idx="32">
                  <c:v>1548.0307349358175</c:v>
                </c:pt>
                <c:pt idx="33">
                  <c:v>1549.02923697093</c:v>
                </c:pt>
                <c:pt idx="34">
                  <c:v>1544.7785703686172</c:v>
                </c:pt>
                <c:pt idx="35">
                  <c:v>1576.054840507783</c:v>
                </c:pt>
                <c:pt idx="36">
                  <c:v>1577.4564853247407</c:v>
                </c:pt>
                <c:pt idx="37">
                  <c:v>1552.3258808539881</c:v>
                </c:pt>
                <c:pt idx="38">
                  <c:v>1554.5178301317392</c:v>
                </c:pt>
                <c:pt idx="39">
                  <c:v>1558.9555078442693</c:v>
                </c:pt>
                <c:pt idx="40">
                  <c:v>1564.2068448275975</c:v>
                </c:pt>
                <c:pt idx="41">
                  <c:v>1545.8312682307919</c:v>
                </c:pt>
                <c:pt idx="42">
                  <c:v>1561.6700110549427</c:v>
                </c:pt>
                <c:pt idx="43">
                  <c:v>1547.1703784872193</c:v>
                </c:pt>
                <c:pt idx="44">
                  <c:v>1561.1616676834485</c:v>
                </c:pt>
                <c:pt idx="45">
                  <c:v>1543.9377627442136</c:v>
                </c:pt>
                <c:pt idx="46">
                  <c:v>1559.8419621175892</c:v>
                </c:pt>
                <c:pt idx="47">
                  <c:v>1571.5430480029656</c:v>
                </c:pt>
                <c:pt idx="48">
                  <c:v>1571.0628697026489</c:v>
                </c:pt>
                <c:pt idx="49">
                  <c:v>1556.1482189078995</c:v>
                </c:pt>
                <c:pt idx="50">
                  <c:v>1570.0150146580604</c:v>
                </c:pt>
                <c:pt idx="51">
                  <c:v>1574.9446835609717</c:v>
                </c:pt>
                <c:pt idx="52">
                  <c:v>1573.2733110779252</c:v>
                </c:pt>
                <c:pt idx="53">
                  <c:v>1579.1422113527276</c:v>
                </c:pt>
                <c:pt idx="54">
                  <c:v>1587.8329982060438</c:v>
                </c:pt>
                <c:pt idx="55">
                  <c:v>1573.4992814982193</c:v>
                </c:pt>
                <c:pt idx="56">
                  <c:v>1583.6201784282587</c:v>
                </c:pt>
                <c:pt idx="57">
                  <c:v>1473.9514905629424</c:v>
                </c:pt>
                <c:pt idx="58">
                  <c:v>1311.8987165274239</c:v>
                </c:pt>
                <c:pt idx="59">
                  <c:v>1620.4423577980042</c:v>
                </c:pt>
                <c:pt idx="60">
                  <c:v>1589.0913851944692</c:v>
                </c:pt>
                <c:pt idx="61">
                  <c:v>1618.7486179590785</c:v>
                </c:pt>
                <c:pt idx="62">
                  <c:v>1515.2902794091028</c:v>
                </c:pt>
                <c:pt idx="63">
                  <c:v>1481.805673387134</c:v>
                </c:pt>
                <c:pt idx="64">
                  <c:v>1558.4948506188853</c:v>
                </c:pt>
                <c:pt idx="65">
                  <c:v>1734.4557116932087</c:v>
                </c:pt>
                <c:pt idx="66">
                  <c:v>1711.6357443796837</c:v>
                </c:pt>
                <c:pt idx="67">
                  <c:v>1688.6897489705298</c:v>
                </c:pt>
                <c:pt idx="68">
                  <c:v>1678.1664644048792</c:v>
                </c:pt>
                <c:pt idx="69">
                  <c:v>1754.3230658859959</c:v>
                </c:pt>
                <c:pt idx="70">
                  <c:v>1726.4157401204479</c:v>
                </c:pt>
                <c:pt idx="71">
                  <c:v>1689.6231747157617</c:v>
                </c:pt>
                <c:pt idx="72">
                  <c:v>1603.8233771540977</c:v>
                </c:pt>
                <c:pt idx="73">
                  <c:v>1458.6609814358601</c:v>
                </c:pt>
                <c:pt idx="74">
                  <c:v>1293.0314157801301</c:v>
                </c:pt>
                <c:pt idx="75">
                  <c:v>1252.6577292253392</c:v>
                </c:pt>
                <c:pt idx="76">
                  <c:v>1444.1852194289263</c:v>
                </c:pt>
                <c:pt idx="77">
                  <c:v>1694.0058786863065</c:v>
                </c:pt>
                <c:pt idx="78">
                  <c:v>1616.688539353016</c:v>
                </c:pt>
                <c:pt idx="79">
                  <c:v>1626.1169271283723</c:v>
                </c:pt>
                <c:pt idx="80">
                  <c:v>1715.1187362432379</c:v>
                </c:pt>
                <c:pt idx="81">
                  <c:v>1775.9781144318515</c:v>
                </c:pt>
                <c:pt idx="82">
                  <c:v>1793.4641330802399</c:v>
                </c:pt>
                <c:pt idx="83">
                  <c:v>1829.2306951314727</c:v>
                </c:pt>
                <c:pt idx="84">
                  <c:v>1845.2098449352479</c:v>
                </c:pt>
                <c:pt idx="85">
                  <c:v>1863.2336744861041</c:v>
                </c:pt>
                <c:pt idx="86">
                  <c:v>1884.810970395321</c:v>
                </c:pt>
                <c:pt idx="87">
                  <c:v>1887.5733806000569</c:v>
                </c:pt>
                <c:pt idx="88">
                  <c:v>1893.9322524846023</c:v>
                </c:pt>
                <c:pt idx="89">
                  <c:v>1904.5900919430853</c:v>
                </c:pt>
                <c:pt idx="90">
                  <c:v>1812.9332099536323</c:v>
                </c:pt>
                <c:pt idx="91">
                  <c:v>1875.532528544449</c:v>
                </c:pt>
                <c:pt idx="92">
                  <c:v>1880.7299488065541</c:v>
                </c:pt>
                <c:pt idx="93">
                  <c:v>1892.1594327706512</c:v>
                </c:pt>
                <c:pt idx="94">
                  <c:v>1909.0985059490417</c:v>
                </c:pt>
                <c:pt idx="95">
                  <c:v>1906.6894272677478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B1-7E49-A514-2351811B5551}"/>
            </c:ext>
          </c:extLst>
        </c:ser>
        <c:ser>
          <c:idx val="2"/>
          <c:order val="2"/>
          <c:tx>
            <c:strRef>
              <c:f>'Exercise 1 HES (Optimised)'!$F$1</c:f>
              <c:strCache>
                <c:ptCount val="1"/>
                <c:pt idx="0">
                  <c:v>Out-of-sample Forecast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'Exercise 1 HES (Optimised)'!$A$2:$A$109</c:f>
              <c:numCache>
                <c:formatCode>mmm\-yyyy</c:formatCode>
                <c:ptCount val="108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</c:numCache>
            </c:numRef>
          </c:cat>
          <c:val>
            <c:numRef>
              <c:f>'Exercise 1 HES (Optimised)'!$F$2:$F$109</c:f>
              <c:numCache>
                <c:formatCode>0.00;\-0.00;0.00;@</c:formatCode>
                <c:ptCount val="108"/>
                <c:pt idx="96">
                  <c:v>1842.4741460962271</c:v>
                </c:pt>
                <c:pt idx="97">
                  <c:v>1843.074146096227</c:v>
                </c:pt>
                <c:pt idx="98">
                  <c:v>1843.6741460962269</c:v>
                </c:pt>
                <c:pt idx="99">
                  <c:v>1844.2741460962268</c:v>
                </c:pt>
                <c:pt idx="100">
                  <c:v>1844.8741460962267</c:v>
                </c:pt>
                <c:pt idx="101">
                  <c:v>1845.4741460962266</c:v>
                </c:pt>
                <c:pt idx="102">
                  <c:v>1846.0741460962265</c:v>
                </c:pt>
                <c:pt idx="103">
                  <c:v>1846.6741460962264</c:v>
                </c:pt>
                <c:pt idx="104">
                  <c:v>1847.2741460962263</c:v>
                </c:pt>
                <c:pt idx="105">
                  <c:v>1847.8741460962262</c:v>
                </c:pt>
                <c:pt idx="106">
                  <c:v>1848.4741460962261</c:v>
                </c:pt>
                <c:pt idx="107">
                  <c:v>1849.0741460962261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B1-7E49-A514-2351811B5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425093071"/>
        <c:axId val="982918847"/>
      </c:lineChart>
      <c:dateAx>
        <c:axId val="425093071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918847"/>
        <c:crosses val="autoZero"/>
        <c:auto val="1"/>
        <c:lblOffset val="100"/>
        <c:baseTimeUnit val="months"/>
      </c:dateAx>
      <c:valAx>
        <c:axId val="982918847"/>
        <c:scaling>
          <c:orientation val="minMax"/>
        </c:scaling>
        <c:delete val="0"/>
        <c:axPos val="l"/>
        <c:numFmt formatCode="0.0;\-0.0;0.0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9307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'Exercise 1 HES (Optimised)'!$H$1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'Exercise 1 HES (Optimised)'!$H$2:$H$97</c:f>
              <c:numCache>
                <c:formatCode>0.00_);\(0.00\)</c:formatCode>
                <c:ptCount val="96"/>
                <c:pt idx="1">
                  <c:v>0</c:v>
                </c:pt>
                <c:pt idx="2">
                  <c:v>-45</c:v>
                </c:pt>
                <c:pt idx="3">
                  <c:v>35.901303537433478</c:v>
                </c:pt>
                <c:pt idx="4">
                  <c:v>8.2693510902731759</c:v>
                </c:pt>
                <c:pt idx="5">
                  <c:v>4.3805657846664872</c:v>
                </c:pt>
                <c:pt idx="6">
                  <c:v>18.5140428413672</c:v>
                </c:pt>
                <c:pt idx="7">
                  <c:v>-13.746323453098285</c:v>
                </c:pt>
                <c:pt idx="8">
                  <c:v>-11.723498839325202</c:v>
                </c:pt>
                <c:pt idx="9">
                  <c:v>-7.9167100513620881</c:v>
                </c:pt>
                <c:pt idx="10">
                  <c:v>-16.374783688121624</c:v>
                </c:pt>
                <c:pt idx="11">
                  <c:v>9.188039230085451</c:v>
                </c:pt>
                <c:pt idx="12">
                  <c:v>-42.743854385486884</c:v>
                </c:pt>
                <c:pt idx="13">
                  <c:v>-9.021918133107647</c:v>
                </c:pt>
                <c:pt idx="14">
                  <c:v>-7.106314097531822</c:v>
                </c:pt>
                <c:pt idx="15">
                  <c:v>-3.7316883771163702</c:v>
                </c:pt>
                <c:pt idx="16">
                  <c:v>-14.219398415457135</c:v>
                </c:pt>
                <c:pt idx="17">
                  <c:v>20.934592375765533</c:v>
                </c:pt>
                <c:pt idx="18">
                  <c:v>10.279771289956216</c:v>
                </c:pt>
                <c:pt idx="19">
                  <c:v>-9.3163663922725846</c:v>
                </c:pt>
                <c:pt idx="20">
                  <c:v>-1.1946400458521111</c:v>
                </c:pt>
                <c:pt idx="21">
                  <c:v>58.141642591978552</c:v>
                </c:pt>
                <c:pt idx="22">
                  <c:v>-36.759191440352197</c:v>
                </c:pt>
                <c:pt idx="23">
                  <c:v>-13.526692610281998</c:v>
                </c:pt>
                <c:pt idx="24">
                  <c:v>-11.657615948636476</c:v>
                </c:pt>
                <c:pt idx="25">
                  <c:v>-25.996947092618257</c:v>
                </c:pt>
                <c:pt idx="26">
                  <c:v>28.901668938741068</c:v>
                </c:pt>
                <c:pt idx="27">
                  <c:v>17.769663472570073</c:v>
                </c:pt>
                <c:pt idx="28">
                  <c:v>-25.269615700929307</c:v>
                </c:pt>
                <c:pt idx="29">
                  <c:v>8.1198472872765706</c:v>
                </c:pt>
                <c:pt idx="30">
                  <c:v>-6.5642810254810229</c:v>
                </c:pt>
                <c:pt idx="31">
                  <c:v>0.23090584315673368</c:v>
                </c:pt>
                <c:pt idx="32">
                  <c:v>0.56926506418244571</c:v>
                </c:pt>
                <c:pt idx="33">
                  <c:v>-6.9292369709301056</c:v>
                </c:pt>
                <c:pt idx="34">
                  <c:v>43.821429631382671</c:v>
                </c:pt>
                <c:pt idx="35">
                  <c:v>1.1451594922170898</c:v>
                </c:pt>
                <c:pt idx="36">
                  <c:v>-36.756485324740652</c:v>
                </c:pt>
                <c:pt idx="37">
                  <c:v>2.2741191460117989</c:v>
                </c:pt>
                <c:pt idx="38">
                  <c:v>5.4821698682608258</c:v>
                </c:pt>
                <c:pt idx="39">
                  <c:v>6.6444921557306316</c:v>
                </c:pt>
                <c:pt idx="40">
                  <c:v>-27.10684482759757</c:v>
                </c:pt>
                <c:pt idx="41">
                  <c:v>21.768731769207989</c:v>
                </c:pt>
                <c:pt idx="42">
                  <c:v>-21.570011054942825</c:v>
                </c:pt>
                <c:pt idx="43">
                  <c:v>19.129621512780659</c:v>
                </c:pt>
                <c:pt idx="44">
                  <c:v>-25.461667683448468</c:v>
                </c:pt>
                <c:pt idx="45">
                  <c:v>21.86223725578634</c:v>
                </c:pt>
                <c:pt idx="46">
                  <c:v>15.858037882410827</c:v>
                </c:pt>
                <c:pt idx="47">
                  <c:v>-1.5430480029656337</c:v>
                </c:pt>
                <c:pt idx="48">
                  <c:v>-22.162869702648777</c:v>
                </c:pt>
                <c:pt idx="49">
                  <c:v>18.951781092100418</c:v>
                </c:pt>
                <c:pt idx="50">
                  <c:v>6.1849853419396368</c:v>
                </c:pt>
                <c:pt idx="51">
                  <c:v>-3.24468356097168</c:v>
                </c:pt>
                <c:pt idx="52">
                  <c:v>7.5266889220747544</c:v>
                </c:pt>
                <c:pt idx="53">
                  <c:v>11.557788647272446</c:v>
                </c:pt>
                <c:pt idx="54">
                  <c:v>-21.33299820604384</c:v>
                </c:pt>
                <c:pt idx="55">
                  <c:v>13.600718501780648</c:v>
                </c:pt>
                <c:pt idx="56">
                  <c:v>-157.52017842825876</c:v>
                </c:pt>
                <c:pt idx="57">
                  <c:v>-232.35149056294244</c:v>
                </c:pt>
                <c:pt idx="58">
                  <c:v>439.9012834725761</c:v>
                </c:pt>
                <c:pt idx="59">
                  <c:v>-45.642357798004241</c:v>
                </c:pt>
                <c:pt idx="60">
                  <c:v>41.508614805530669</c:v>
                </c:pt>
                <c:pt idx="61">
                  <c:v>-148.64861795907859</c:v>
                </c:pt>
                <c:pt idx="62">
                  <c:v>-48.690279409102914</c:v>
                </c:pt>
                <c:pt idx="63">
                  <c:v>108.69432661286601</c:v>
                </c:pt>
                <c:pt idx="64">
                  <c:v>250.50514938111473</c:v>
                </c:pt>
                <c:pt idx="65">
                  <c:v>-33.455711693208741</c:v>
                </c:pt>
                <c:pt idx="66">
                  <c:v>-33.635744379683729</c:v>
                </c:pt>
                <c:pt idx="67">
                  <c:v>-15.889748970529809</c:v>
                </c:pt>
                <c:pt idx="68">
                  <c:v>107.9335355951207</c:v>
                </c:pt>
                <c:pt idx="69">
                  <c:v>-40.723065885995993</c:v>
                </c:pt>
                <c:pt idx="70">
                  <c:v>-53.415740120447936</c:v>
                </c:pt>
                <c:pt idx="71">
                  <c:v>-123.42317471576166</c:v>
                </c:pt>
                <c:pt idx="72">
                  <c:v>-208.22337715409776</c:v>
                </c:pt>
                <c:pt idx="73">
                  <c:v>-237.46098143586005</c:v>
                </c:pt>
                <c:pt idx="74">
                  <c:v>-58.531415780130146</c:v>
                </c:pt>
                <c:pt idx="75">
                  <c:v>272.74227077466094</c:v>
                </c:pt>
                <c:pt idx="76">
                  <c:v>356.01478057107374</c:v>
                </c:pt>
                <c:pt idx="77">
                  <c:v>-111.30587868630641</c:v>
                </c:pt>
                <c:pt idx="78">
                  <c:v>12.611460646983915</c:v>
                </c:pt>
                <c:pt idx="79">
                  <c:v>126.28307287162784</c:v>
                </c:pt>
                <c:pt idx="80">
                  <c:v>86.081263756762155</c:v>
                </c:pt>
                <c:pt idx="81">
                  <c:v>24.1218855681484</c:v>
                </c:pt>
                <c:pt idx="82">
                  <c:v>50.235866919760156</c:v>
                </c:pt>
                <c:pt idx="83">
                  <c:v>21.969304868527388</c:v>
                </c:pt>
                <c:pt idx="84">
                  <c:v>24.89015506475198</c:v>
                </c:pt>
                <c:pt idx="85">
                  <c:v>29.966325513895981</c:v>
                </c:pt>
                <c:pt idx="86">
                  <c:v>3.0890296046791264</c:v>
                </c:pt>
                <c:pt idx="87">
                  <c:v>8.226619399943047</c:v>
                </c:pt>
                <c:pt idx="88">
                  <c:v>14.367747515397696</c:v>
                </c:pt>
                <c:pt idx="89">
                  <c:v>-131.79009194308537</c:v>
                </c:pt>
                <c:pt idx="90">
                  <c:v>88.566790046367714</c:v>
                </c:pt>
                <c:pt idx="91">
                  <c:v>6.5674714555509581</c:v>
                </c:pt>
                <c:pt idx="92">
                  <c:v>15.470051193445897</c:v>
                </c:pt>
                <c:pt idx="93">
                  <c:v>23.340567229348835</c:v>
                </c:pt>
                <c:pt idx="94">
                  <c:v>-4.2985059490417825</c:v>
                </c:pt>
                <c:pt idx="95">
                  <c:v>-92.589427267747851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E5-0342-AE0C-286A2F205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697663"/>
        <c:axId val="383284015"/>
      </c:scatterChart>
      <c:valAx>
        <c:axId val="80569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284015"/>
        <c:crosses val="autoZero"/>
        <c:crossBetween val="midCat"/>
      </c:valAx>
      <c:valAx>
        <c:axId val="38328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69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'Exercise 2 WES'!$I$1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'Exercise 2 WES'!$I$2:$I$97</c:f>
              <c:numCache>
                <c:formatCode>General</c:formatCode>
                <c:ptCount val="96"/>
                <c:pt idx="12" formatCode="0.00_);\(0.00\)">
                  <c:v>-69.270601345433988</c:v>
                </c:pt>
                <c:pt idx="13" formatCode="0.00_);\(0.00\)">
                  <c:v>12.661942751003153</c:v>
                </c:pt>
                <c:pt idx="14" formatCode="0.00_);\(0.00\)">
                  <c:v>55.433787624337583</c:v>
                </c:pt>
                <c:pt idx="15" formatCode="0.00_);\(0.00\)">
                  <c:v>-28.748201268704179</c:v>
                </c:pt>
                <c:pt idx="16" formatCode="0.00_);\(0.00\)">
                  <c:v>23.928437965283365</c:v>
                </c:pt>
                <c:pt idx="17" formatCode="0.00_);\(0.00\)">
                  <c:v>41.303250364637279</c:v>
                </c:pt>
                <c:pt idx="18" formatCode="0.00_);\(0.00\)">
                  <c:v>-48.934822840778907</c:v>
                </c:pt>
                <c:pt idx="19" formatCode="0.00_);\(0.00\)">
                  <c:v>-5.1916957731859839</c:v>
                </c:pt>
                <c:pt idx="20" formatCode="0.00_);\(0.00\)">
                  <c:v>6.6095307861512538</c:v>
                </c:pt>
                <c:pt idx="21" formatCode="0.00_);\(0.00\)">
                  <c:v>165.86913616300035</c:v>
                </c:pt>
                <c:pt idx="22" formatCode="0.00_);\(0.00\)">
                  <c:v>-17.621013118744258</c:v>
                </c:pt>
                <c:pt idx="23" formatCode="0.00_);\(0.00\)">
                  <c:v>-81.563971498282399</c:v>
                </c:pt>
                <c:pt idx="24" formatCode="0.00_);\(0.00\)">
                  <c:v>-88.602126781529023</c:v>
                </c:pt>
                <c:pt idx="25" formatCode="0.00_);\(0.00\)">
                  <c:v>8.5406890165959339</c:v>
                </c:pt>
                <c:pt idx="26" formatCode="0.00_);\(0.00\)">
                  <c:v>41.191605347469476</c:v>
                </c:pt>
                <c:pt idx="27" formatCode="0.00_);\(0.00\)">
                  <c:v>-10.569450094740205</c:v>
                </c:pt>
                <c:pt idx="28" formatCode="0.00_);\(0.00\)">
                  <c:v>35.334036554596878</c:v>
                </c:pt>
                <c:pt idx="29" formatCode="0.00_);\(0.00\)">
                  <c:v>-72.240568100740802</c:v>
                </c:pt>
                <c:pt idx="30" formatCode="0.00_);\(0.00\)">
                  <c:v>-55.896682796331334</c:v>
                </c:pt>
                <c:pt idx="31" formatCode="0.00_);\(0.00\)">
                  <c:v>8.5754470285562547</c:v>
                </c:pt>
                <c:pt idx="32" formatCode="0.00_);\(0.00\)">
                  <c:v>51.934516472704445</c:v>
                </c:pt>
                <c:pt idx="33" formatCode="0.00_);\(0.00\)">
                  <c:v>-23.987758855267884</c:v>
                </c:pt>
                <c:pt idx="34" formatCode="0.00_);\(0.00\)">
                  <c:v>155.41946818303018</c:v>
                </c:pt>
                <c:pt idx="35" formatCode="0.00_);\(0.00\)">
                  <c:v>-17.623921571906521</c:v>
                </c:pt>
                <c:pt idx="36" formatCode="0.00_);\(0.00\)">
                  <c:v>-121.84716789907043</c:v>
                </c:pt>
                <c:pt idx="37" formatCode="0.00_);\(0.00\)">
                  <c:v>19.242418848584748</c:v>
                </c:pt>
                <c:pt idx="38" formatCode="0.00_);\(0.00\)">
                  <c:v>-25.886161239704279</c:v>
                </c:pt>
                <c:pt idx="39" formatCode="0.00_);\(0.00\)">
                  <c:v>-13.820046308601832</c:v>
                </c:pt>
                <c:pt idx="40" formatCode="0.00_);\(0.00\)">
                  <c:v>34.400011263228407</c:v>
                </c:pt>
                <c:pt idx="41" formatCode="0.00_);\(0.00\)">
                  <c:v>-64.495755131316855</c:v>
                </c:pt>
                <c:pt idx="42" formatCode="0.00_);\(0.00\)">
                  <c:v>-44.027558374622004</c:v>
                </c:pt>
                <c:pt idx="43" formatCode="0.00_);\(0.00\)">
                  <c:v>19.421193985705941</c:v>
                </c:pt>
                <c:pt idx="44" formatCode="0.00_);\(0.00\)">
                  <c:v>-34.29147820014532</c:v>
                </c:pt>
                <c:pt idx="45" formatCode="0.00_);\(0.00\)">
                  <c:v>104.12713763027705</c:v>
                </c:pt>
                <c:pt idx="46" formatCode="0.00_);\(0.00\)">
                  <c:v>86.246228406363571</c:v>
                </c:pt>
                <c:pt idx="47" formatCode="0.00_);\(0.00\)">
                  <c:v>-13.239775507111517</c:v>
                </c:pt>
                <c:pt idx="48" formatCode="0.00_);\(0.00\)">
                  <c:v>-59.131712738385886</c:v>
                </c:pt>
                <c:pt idx="49" formatCode="0.00_);\(0.00\)">
                  <c:v>32.191695214300353</c:v>
                </c:pt>
                <c:pt idx="50" formatCode="0.00_);\(0.00\)">
                  <c:v>-75.390942030964197</c:v>
                </c:pt>
                <c:pt idx="51" formatCode="0.00_);\(0.00\)">
                  <c:v>-9.9560793136390657</c:v>
                </c:pt>
                <c:pt idx="52" formatCode="0.00_);\(0.00\)">
                  <c:v>80.771201507630394</c:v>
                </c:pt>
                <c:pt idx="53" formatCode="0.00_);\(0.00\)">
                  <c:v>-146.03874095591027</c:v>
                </c:pt>
                <c:pt idx="54" formatCode="0.00_);\(0.00\)">
                  <c:v>-58.805246904597197</c:v>
                </c:pt>
                <c:pt idx="55" formatCode="0.00_);\(0.00\)">
                  <c:v>61.133409242608195</c:v>
                </c:pt>
                <c:pt idx="56" formatCode="0.00_);\(0.00\)">
                  <c:v>-199.74845508236581</c:v>
                </c:pt>
                <c:pt idx="57" formatCode="0.00_);\(0.00\)">
                  <c:v>-162.60745628676796</c:v>
                </c:pt>
                <c:pt idx="58" formatCode="0.00_);\(0.00\)">
                  <c:v>538.55879903765413</c:v>
                </c:pt>
                <c:pt idx="59" formatCode="0.00_);\(0.00\)">
                  <c:v>28.06210268767154</c:v>
                </c:pt>
                <c:pt idx="60" formatCode="0.00_);\(0.00\)">
                  <c:v>49.304708959058644</c:v>
                </c:pt>
                <c:pt idx="61" formatCode="0.00_);\(0.00\)">
                  <c:v>-212.65006526579168</c:v>
                </c:pt>
                <c:pt idx="62" formatCode="0.00_);\(0.00\)">
                  <c:v>-33.395055716934394</c:v>
                </c:pt>
                <c:pt idx="63" formatCode="0.00_);\(0.00\)">
                  <c:v>45.018809254007692</c:v>
                </c:pt>
                <c:pt idx="64" formatCode="0.00_);\(0.00\)">
                  <c:v>304.25737943914578</c:v>
                </c:pt>
                <c:pt idx="65" formatCode="0.00_);\(0.00\)">
                  <c:v>-201.07787475663008</c:v>
                </c:pt>
                <c:pt idx="66" formatCode="0.00_);\(0.00\)">
                  <c:v>-125.35352007150732</c:v>
                </c:pt>
                <c:pt idx="67" formatCode="0.00_);\(0.00\)">
                  <c:v>-76.214758312550657</c:v>
                </c:pt>
                <c:pt idx="68" formatCode="0.00_);\(0.00\)">
                  <c:v>141.07280298482056</c:v>
                </c:pt>
                <c:pt idx="69" formatCode="0.00_);\(0.00\)">
                  <c:v>-21.827948179775831</c:v>
                </c:pt>
                <c:pt idx="70" formatCode="0.00_);\(0.00\)">
                  <c:v>-225.55965585228569</c:v>
                </c:pt>
                <c:pt idx="71" formatCode="0.00_);\(0.00\)">
                  <c:v>-42.79122315956829</c:v>
                </c:pt>
                <c:pt idx="72" formatCode="0.00_);\(0.00\)">
                  <c:v>-115.44429313307342</c:v>
                </c:pt>
                <c:pt idx="73" formatCode="0.00_);\(0.00\)">
                  <c:v>-115.96345481326671</c:v>
                </c:pt>
                <c:pt idx="74" formatCode="0.00_);\(0.00\)">
                  <c:v>67.515815316798808</c:v>
                </c:pt>
                <c:pt idx="75" formatCode="0.00_);\(0.00\)">
                  <c:v>347.27090136536208</c:v>
                </c:pt>
                <c:pt idx="76" formatCode="0.00_);\(0.00\)">
                  <c:v>554.51790856133084</c:v>
                </c:pt>
                <c:pt idx="77" formatCode="0.00_);\(0.00\)">
                  <c:v>-217.40807967003366</c:v>
                </c:pt>
                <c:pt idx="78" formatCode="0.00_);\(0.00\)">
                  <c:v>-98.211233704338838</c:v>
                </c:pt>
                <c:pt idx="79" formatCode="0.00_);\(0.00\)">
                  <c:v>11.977302062630542</c:v>
                </c:pt>
                <c:pt idx="80" formatCode="0.00_);\(0.00\)">
                  <c:v>-7.1528563281567585</c:v>
                </c:pt>
                <c:pt idx="81" formatCode="0.00_);\(0.00\)">
                  <c:v>42.623169543709309</c:v>
                </c:pt>
                <c:pt idx="82" formatCode="0.00_);\(0.00\)">
                  <c:v>-161.76606762992242</c:v>
                </c:pt>
                <c:pt idx="83" formatCode="0.00_);\(0.00\)">
                  <c:v>-24.688206737876044</c:v>
                </c:pt>
                <c:pt idx="84" formatCode="0.00_);\(0.00\)">
                  <c:v>60.205606369339193</c:v>
                </c:pt>
                <c:pt idx="85" formatCode="0.00_);\(0.00\)">
                  <c:v>66.292509867456374</c:v>
                </c:pt>
                <c:pt idx="86" formatCode="0.00_);\(0.00\)">
                  <c:v>-82.385447842350914</c:v>
                </c:pt>
                <c:pt idx="87" formatCode="0.00_);\(0.00\)">
                  <c:v>-311.284718419407</c:v>
                </c:pt>
                <c:pt idx="88" formatCode="0.00_);\(0.00\)">
                  <c:v>-29.092931991651312</c:v>
                </c:pt>
                <c:pt idx="89" formatCode="0.00_);\(0.00\)">
                  <c:v>-38.18870167043724</c:v>
                </c:pt>
                <c:pt idx="90" formatCode="0.00_);\(0.00\)">
                  <c:v>137.33525787604572</c:v>
                </c:pt>
                <c:pt idx="91" formatCode="0.00_);\(0.00\)">
                  <c:v>32.5486696155765</c:v>
                </c:pt>
                <c:pt idx="92" formatCode="0.00_);\(0.00\)">
                  <c:v>18.879578812511909</c:v>
                </c:pt>
                <c:pt idx="93" formatCode="0.00_);\(0.00\)">
                  <c:v>109.90790975112031</c:v>
                </c:pt>
                <c:pt idx="94" formatCode="0.00_);\(0.00\)">
                  <c:v>-75.554333411219432</c:v>
                </c:pt>
                <c:pt idx="95" formatCode="0.00_);\(0.00\)">
                  <c:v>-110.23555527562871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A7-BD45-8C28-DFA719709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337296"/>
        <c:axId val="400053695"/>
      </c:scatterChart>
      <c:valAx>
        <c:axId val="166633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53695"/>
        <c:crosses val="autoZero"/>
        <c:crossBetween val="midCat"/>
      </c:valAx>
      <c:valAx>
        <c:axId val="40005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37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Correlogram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acf</c:v>
          </c:tx>
          <c:invertIfNegative val="0"/>
          <c:cat>
            <c:numRef>
              <c:f>'Exercise 2 WES'!$T$11:$T$35</c:f>
              <c:numCache>
                <c:formatCode>General</c:formatCode>
                <c:ptCount val="25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'Exercise 2 WES'!$U$11:$U$35</c:f>
              <c:numCache>
                <c:formatCode>General</c:formatCode>
                <c:ptCount val="25"/>
                <c:pt idx="1">
                  <c:v>5.0967968925710434E-2</c:v>
                </c:pt>
                <c:pt idx="2">
                  <c:v>-0.25786454038139028</c:v>
                </c:pt>
                <c:pt idx="3">
                  <c:v>-0.21895285764279226</c:v>
                </c:pt>
                <c:pt idx="4">
                  <c:v>-1.3744042723744984E-2</c:v>
                </c:pt>
                <c:pt idx="5">
                  <c:v>4.7605320937507807E-2</c:v>
                </c:pt>
                <c:pt idx="6">
                  <c:v>1.1060376227369672E-2</c:v>
                </c:pt>
                <c:pt idx="7">
                  <c:v>-0.1092009666216827</c:v>
                </c:pt>
                <c:pt idx="8">
                  <c:v>-2.1835182554443631E-2</c:v>
                </c:pt>
                <c:pt idx="9">
                  <c:v>3.0277755090328557E-2</c:v>
                </c:pt>
                <c:pt idx="10">
                  <c:v>-5.4694263594644354E-2</c:v>
                </c:pt>
                <c:pt idx="11">
                  <c:v>-0.14428079220972603</c:v>
                </c:pt>
                <c:pt idx="12">
                  <c:v>0.10304203551656956</c:v>
                </c:pt>
                <c:pt idx="13">
                  <c:v>1.1740853549522406E-3</c:v>
                </c:pt>
                <c:pt idx="14">
                  <c:v>-7.9174418973712329E-2</c:v>
                </c:pt>
                <c:pt idx="15">
                  <c:v>-3.2646635465826371E-2</c:v>
                </c:pt>
                <c:pt idx="16">
                  <c:v>9.4512006820917732E-2</c:v>
                </c:pt>
                <c:pt idx="17">
                  <c:v>0.30402569850478228</c:v>
                </c:pt>
                <c:pt idx="18">
                  <c:v>0.16271808618597156</c:v>
                </c:pt>
                <c:pt idx="19">
                  <c:v>-0.26963097979513567</c:v>
                </c:pt>
                <c:pt idx="20">
                  <c:v>-0.1137271264397761</c:v>
                </c:pt>
                <c:pt idx="21">
                  <c:v>0.10903378442644272</c:v>
                </c:pt>
                <c:pt idx="22">
                  <c:v>-8.8627623106831643E-2</c:v>
                </c:pt>
                <c:pt idx="23">
                  <c:v>-0.10736487156084948</c:v>
                </c:pt>
                <c:pt idx="24">
                  <c:v>4.8386921004161601E-2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7B-594B-8B7F-6F6A145D2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8952928"/>
        <c:axId val="2098969088"/>
      </c:barChart>
      <c:lineChart>
        <c:grouping val="standard"/>
        <c:varyColors val="0"/>
        <c:ser>
          <c:idx val="0"/>
          <c:order val="0"/>
          <c:tx>
            <c:strRef>
              <c:f>'Exercise 2 WES'!$V$10</c:f>
              <c:strCache>
                <c:ptCount val="1"/>
                <c:pt idx="0">
                  <c:v>lower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'Exercise 2 WES'!$T$11:$T$35</c:f>
              <c:numCache>
                <c:formatCode>General</c:formatCode>
                <c:ptCount val="25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'Exercise 2 WES'!$V$11:$V$35</c:f>
              <c:numCache>
                <c:formatCode>General</c:formatCode>
                <c:ptCount val="25"/>
                <c:pt idx="1">
                  <c:v>-0.21384960282242985</c:v>
                </c:pt>
                <c:pt idx="2">
                  <c:v>-0.21440440749198764</c:v>
                </c:pt>
                <c:pt idx="3">
                  <c:v>-0.22814693084868115</c:v>
                </c:pt>
                <c:pt idx="4">
                  <c:v>-0.23756221348458231</c:v>
                </c:pt>
                <c:pt idx="5">
                  <c:v>-0.23759857444038895</c:v>
                </c:pt>
                <c:pt idx="6">
                  <c:v>-0.23803437316539583</c:v>
                </c:pt>
                <c:pt idx="7">
                  <c:v>-0.23805787466537168</c:v>
                </c:pt>
                <c:pt idx="8">
                  <c:v>-0.24033775813942587</c:v>
                </c:pt>
                <c:pt idx="9">
                  <c:v>-0.2404284621730198</c:v>
                </c:pt>
                <c:pt idx="10">
                  <c:v>-0.24060277163351665</c:v>
                </c:pt>
                <c:pt idx="11">
                  <c:v>-0.2411706921721547</c:v>
                </c:pt>
                <c:pt idx="12">
                  <c:v>-0.24508628998943907</c:v>
                </c:pt>
                <c:pt idx="13">
                  <c:v>-0.24705953921585044</c:v>
                </c:pt>
                <c:pt idx="14">
                  <c:v>-0.24705979437690387</c:v>
                </c:pt>
                <c:pt idx="15">
                  <c:v>-0.24821742048455969</c:v>
                </c:pt>
                <c:pt idx="16">
                  <c:v>-0.24841370670618881</c:v>
                </c:pt>
                <c:pt idx="17">
                  <c:v>-0.25005272930150296</c:v>
                </c:pt>
                <c:pt idx="18">
                  <c:v>-0.26642160084313626</c:v>
                </c:pt>
                <c:pt idx="19">
                  <c:v>-0.27092832887581875</c:v>
                </c:pt>
                <c:pt idx="20">
                  <c:v>-0.28293395133754751</c:v>
                </c:pt>
                <c:pt idx="21">
                  <c:v>-0.28501683167784864</c:v>
                </c:pt>
                <c:pt idx="22">
                  <c:v>-0.28691800849981802</c:v>
                </c:pt>
                <c:pt idx="23">
                  <c:v>-0.28816726853500135</c:v>
                </c:pt>
                <c:pt idx="24">
                  <c:v>-0.28999084795597169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7B-594B-8B7F-6F6A145D26CE}"/>
            </c:ext>
          </c:extLst>
        </c:ser>
        <c:ser>
          <c:idx val="1"/>
          <c:order val="1"/>
          <c:tx>
            <c:strRef>
              <c:f>'Exercise 2 WES'!$W$10</c:f>
              <c:strCache>
                <c:ptCount val="1"/>
                <c:pt idx="0">
                  <c:v>upper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val>
            <c:numRef>
              <c:f>'Exercise 2 WES'!$W$11:$W$35</c:f>
              <c:numCache>
                <c:formatCode>General</c:formatCode>
                <c:ptCount val="25"/>
                <c:pt idx="1">
                  <c:v>0.21384960282242985</c:v>
                </c:pt>
                <c:pt idx="2">
                  <c:v>0.21440440749198764</c:v>
                </c:pt>
                <c:pt idx="3">
                  <c:v>0.22814693084868115</c:v>
                </c:pt>
                <c:pt idx="4">
                  <c:v>0.23756221348458231</c:v>
                </c:pt>
                <c:pt idx="5">
                  <c:v>0.23759857444038895</c:v>
                </c:pt>
                <c:pt idx="6">
                  <c:v>0.23803437316539583</c:v>
                </c:pt>
                <c:pt idx="7">
                  <c:v>0.23805787466537168</c:v>
                </c:pt>
                <c:pt idx="8">
                  <c:v>0.24033775813942587</c:v>
                </c:pt>
                <c:pt idx="9">
                  <c:v>0.2404284621730198</c:v>
                </c:pt>
                <c:pt idx="10">
                  <c:v>0.24060277163351665</c:v>
                </c:pt>
                <c:pt idx="11">
                  <c:v>0.2411706921721547</c:v>
                </c:pt>
                <c:pt idx="12">
                  <c:v>0.24508628998943907</c:v>
                </c:pt>
                <c:pt idx="13">
                  <c:v>0.24705953921585044</c:v>
                </c:pt>
                <c:pt idx="14">
                  <c:v>0.24705979437690387</c:v>
                </c:pt>
                <c:pt idx="15">
                  <c:v>0.24821742048455969</c:v>
                </c:pt>
                <c:pt idx="16">
                  <c:v>0.24841370670618881</c:v>
                </c:pt>
                <c:pt idx="17">
                  <c:v>0.25005272930150296</c:v>
                </c:pt>
                <c:pt idx="18">
                  <c:v>0.26642160084313626</c:v>
                </c:pt>
                <c:pt idx="19">
                  <c:v>0.27092832887581875</c:v>
                </c:pt>
                <c:pt idx="20">
                  <c:v>0.28293395133754751</c:v>
                </c:pt>
                <c:pt idx="21">
                  <c:v>0.28501683167784864</c:v>
                </c:pt>
                <c:pt idx="22">
                  <c:v>0.28691800849981802</c:v>
                </c:pt>
                <c:pt idx="23">
                  <c:v>0.28816726853500135</c:v>
                </c:pt>
                <c:pt idx="24">
                  <c:v>0.28999084795597169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7B-594B-8B7F-6F6A145D2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952928"/>
        <c:axId val="2098969088"/>
      </c:lineChart>
      <c:catAx>
        <c:axId val="2098952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8969088"/>
        <c:crosses val="autoZero"/>
        <c:auto val="1"/>
        <c:lblAlgn val="ctr"/>
        <c:lblOffset val="100"/>
        <c:noMultiLvlLbl val="0"/>
      </c:catAx>
      <c:valAx>
        <c:axId val="2098969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895292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Actual data (July 2015 - June 2023) vs. Within and Out-of-sample Forecast for Total State Department Stores Turnover (Original-Adjusted Data)</a:t>
            </a:r>
            <a:endParaRPr lang="en-GB" sz="1400" b="0" i="0" u="none" strike="noStrike" kern="1200" cap="none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'Exercise 2 WES'!$B$1</c:f>
              <c:strCache>
                <c:ptCount val="1"/>
                <c:pt idx="0">
                  <c:v>Total (State) Department stores Turnover in $ millions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'Exercise 2 WES'!$A$2:$A$109</c:f>
              <c:numCache>
                <c:formatCode>mmm\-yyyy</c:formatCode>
                <c:ptCount val="108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</c:numCache>
            </c:numRef>
          </c:cat>
          <c:val>
            <c:numRef>
              <c:f>'Exercise 2 WES'!$B$2:$B$109</c:f>
              <c:numCache>
                <c:formatCode>0.0;\-0.0;0.0;@</c:formatCode>
                <c:ptCount val="108"/>
                <c:pt idx="0">
                  <c:v>1540.9</c:v>
                </c:pt>
                <c:pt idx="1">
                  <c:v>1331.9</c:v>
                </c:pt>
                <c:pt idx="2">
                  <c:v>1400.1</c:v>
                </c:pt>
                <c:pt idx="3">
                  <c:v>1566.3</c:v>
                </c:pt>
                <c:pt idx="4">
                  <c:v>1730.5</c:v>
                </c:pt>
                <c:pt idx="5">
                  <c:v>2913.6</c:v>
                </c:pt>
                <c:pt idx="6">
                  <c:v>1519.2</c:v>
                </c:pt>
                <c:pt idx="7">
                  <c:v>1155.8</c:v>
                </c:pt>
                <c:pt idx="8">
                  <c:v>1451.5</c:v>
                </c:pt>
                <c:pt idx="9">
                  <c:v>1451</c:v>
                </c:pt>
                <c:pt idx="10">
                  <c:v>1449.7</c:v>
                </c:pt>
                <c:pt idx="11">
                  <c:v>1596.1</c:v>
                </c:pt>
                <c:pt idx="12">
                  <c:v>1468.3</c:v>
                </c:pt>
                <c:pt idx="13">
                  <c:v>1293.9000000000001</c:v>
                </c:pt>
                <c:pt idx="14">
                  <c:v>1393.5</c:v>
                </c:pt>
                <c:pt idx="15">
                  <c:v>1497.4</c:v>
                </c:pt>
                <c:pt idx="16">
                  <c:v>1684.3</c:v>
                </c:pt>
                <c:pt idx="17">
                  <c:v>2850.4</c:v>
                </c:pt>
                <c:pt idx="18">
                  <c:v>1428.5</c:v>
                </c:pt>
                <c:pt idx="19">
                  <c:v>1092.4000000000001</c:v>
                </c:pt>
                <c:pt idx="20">
                  <c:v>1370.3</c:v>
                </c:pt>
                <c:pt idx="21">
                  <c:v>1522.6</c:v>
                </c:pt>
                <c:pt idx="22">
                  <c:v>1452.4</c:v>
                </c:pt>
                <c:pt idx="23">
                  <c:v>1557.2</c:v>
                </c:pt>
                <c:pt idx="24">
                  <c:v>1445.5</c:v>
                </c:pt>
                <c:pt idx="25">
                  <c:v>1303.0999999999999</c:v>
                </c:pt>
                <c:pt idx="26">
                  <c:v>1407.2</c:v>
                </c:pt>
                <c:pt idx="27">
                  <c:v>1518.3</c:v>
                </c:pt>
                <c:pt idx="28">
                  <c:v>1730.4</c:v>
                </c:pt>
                <c:pt idx="29">
                  <c:v>2822.6</c:v>
                </c:pt>
                <c:pt idx="30">
                  <c:v>1413.1</c:v>
                </c:pt>
                <c:pt idx="31">
                  <c:v>1099.4000000000001</c:v>
                </c:pt>
                <c:pt idx="32">
                  <c:v>1416.2</c:v>
                </c:pt>
                <c:pt idx="33">
                  <c:v>1402.7</c:v>
                </c:pt>
                <c:pt idx="34">
                  <c:v>1518</c:v>
                </c:pt>
                <c:pt idx="35">
                  <c:v>1587.2</c:v>
                </c:pt>
                <c:pt idx="36">
                  <c:v>1426.7</c:v>
                </c:pt>
                <c:pt idx="37">
                  <c:v>1343.6</c:v>
                </c:pt>
                <c:pt idx="38">
                  <c:v>1398.8</c:v>
                </c:pt>
                <c:pt idx="39">
                  <c:v>1524.8</c:v>
                </c:pt>
                <c:pt idx="40">
                  <c:v>1745.1</c:v>
                </c:pt>
                <c:pt idx="41">
                  <c:v>2813.5</c:v>
                </c:pt>
                <c:pt idx="42">
                  <c:v>1409.6</c:v>
                </c:pt>
                <c:pt idx="43">
                  <c:v>1115.2</c:v>
                </c:pt>
                <c:pt idx="44">
                  <c:v>1355.7</c:v>
                </c:pt>
                <c:pt idx="45">
                  <c:v>1474.6</c:v>
                </c:pt>
                <c:pt idx="46">
                  <c:v>1512</c:v>
                </c:pt>
                <c:pt idx="47">
                  <c:v>1570.2</c:v>
                </c:pt>
                <c:pt idx="48">
                  <c:v>1439.2</c:v>
                </c:pt>
                <c:pt idx="49">
                  <c:v>1381.4</c:v>
                </c:pt>
                <c:pt idx="50">
                  <c:v>1384.2</c:v>
                </c:pt>
                <c:pt idx="51">
                  <c:v>1544.5</c:v>
                </c:pt>
                <c:pt idx="52">
                  <c:v>1826.3</c:v>
                </c:pt>
                <c:pt idx="53">
                  <c:v>2819.9</c:v>
                </c:pt>
                <c:pt idx="54">
                  <c:v>1417.3</c:v>
                </c:pt>
                <c:pt idx="55">
                  <c:v>1180.2</c:v>
                </c:pt>
                <c:pt idx="56">
                  <c:v>1241.4000000000001</c:v>
                </c:pt>
                <c:pt idx="57">
                  <c:v>1177</c:v>
                </c:pt>
                <c:pt idx="58">
                  <c:v>1697.2</c:v>
                </c:pt>
                <c:pt idx="59">
                  <c:v>1557.7</c:v>
                </c:pt>
                <c:pt idx="60">
                  <c:v>1528</c:v>
                </c:pt>
                <c:pt idx="61">
                  <c:v>1236.8</c:v>
                </c:pt>
                <c:pt idx="62">
                  <c:v>1360.2</c:v>
                </c:pt>
                <c:pt idx="63">
                  <c:v>1562.4</c:v>
                </c:pt>
                <c:pt idx="64">
                  <c:v>2070.6999999999998</c:v>
                </c:pt>
                <c:pt idx="65">
                  <c:v>3012.7</c:v>
                </c:pt>
                <c:pt idx="66">
                  <c:v>1514</c:v>
                </c:pt>
                <c:pt idx="67">
                  <c:v>1197.7</c:v>
                </c:pt>
                <c:pt idx="68">
                  <c:v>1600.2</c:v>
                </c:pt>
                <c:pt idx="69">
                  <c:v>1596.8</c:v>
                </c:pt>
                <c:pt idx="70">
                  <c:v>1602.1</c:v>
                </c:pt>
                <c:pt idx="71">
                  <c:v>1560.2</c:v>
                </c:pt>
                <c:pt idx="72">
                  <c:v>1313.9</c:v>
                </c:pt>
                <c:pt idx="73">
                  <c:v>1032.5</c:v>
                </c:pt>
                <c:pt idx="74">
                  <c:v>1137.5999999999999</c:v>
                </c:pt>
                <c:pt idx="75">
                  <c:v>1493.4</c:v>
                </c:pt>
                <c:pt idx="76">
                  <c:v>2106.1999999999998</c:v>
                </c:pt>
                <c:pt idx="77">
                  <c:v>2765.5</c:v>
                </c:pt>
                <c:pt idx="78">
                  <c:v>1446.9</c:v>
                </c:pt>
                <c:pt idx="79">
                  <c:v>1259.5999999999999</c:v>
                </c:pt>
                <c:pt idx="80">
                  <c:v>1599.3</c:v>
                </c:pt>
                <c:pt idx="81">
                  <c:v>1725</c:v>
                </c:pt>
                <c:pt idx="82">
                  <c:v>1767.6</c:v>
                </c:pt>
                <c:pt idx="83">
                  <c:v>1817.9</c:v>
                </c:pt>
                <c:pt idx="84">
                  <c:v>1760.3</c:v>
                </c:pt>
                <c:pt idx="85">
                  <c:v>1618</c:v>
                </c:pt>
                <c:pt idx="86">
                  <c:v>1744.1</c:v>
                </c:pt>
                <c:pt idx="87">
                  <c:v>1830.9</c:v>
                </c:pt>
                <c:pt idx="88">
                  <c:v>2292.6</c:v>
                </c:pt>
                <c:pt idx="89">
                  <c:v>3088.2</c:v>
                </c:pt>
                <c:pt idx="90">
                  <c:v>1687.8</c:v>
                </c:pt>
                <c:pt idx="91">
                  <c:v>1356.7</c:v>
                </c:pt>
                <c:pt idx="92">
                  <c:v>1674.2</c:v>
                </c:pt>
                <c:pt idx="93">
                  <c:v>1820.6</c:v>
                </c:pt>
                <c:pt idx="94">
                  <c:v>1833.5</c:v>
                </c:pt>
                <c:pt idx="95">
                  <c:v>1777.5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57-3C4C-A8B4-243DC58AA914}"/>
            </c:ext>
          </c:extLst>
        </c:ser>
        <c:ser>
          <c:idx val="1"/>
          <c:order val="1"/>
          <c:tx>
            <c:strRef>
              <c:f>'Exercise 2 WES'!$F$1</c:f>
              <c:strCache>
                <c:ptCount val="1"/>
                <c:pt idx="0">
                  <c:v>Within sample forecast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'Exercise 2 WES'!$A$2:$A$109</c:f>
              <c:numCache>
                <c:formatCode>mmm\-yyyy</c:formatCode>
                <c:ptCount val="108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</c:numCache>
            </c:numRef>
          </c:cat>
          <c:val>
            <c:numRef>
              <c:f>'Exercise 2 WES'!$F$2:$F$141</c:f>
              <c:numCache>
                <c:formatCode>General</c:formatCode>
                <c:ptCount val="140"/>
                <c:pt idx="12" formatCode="0.00">
                  <c:v>1537.5706013454339</c:v>
                </c:pt>
                <c:pt idx="13" formatCode="0.00">
                  <c:v>1281.2380572489969</c:v>
                </c:pt>
                <c:pt idx="14" formatCode="0.00">
                  <c:v>1338.0662123756624</c:v>
                </c:pt>
                <c:pt idx="15" formatCode="0.00">
                  <c:v>1526.1482012687043</c:v>
                </c:pt>
                <c:pt idx="16" formatCode="0.00">
                  <c:v>1660.3715620347166</c:v>
                </c:pt>
                <c:pt idx="17" formatCode="0.00">
                  <c:v>2809.0967496353628</c:v>
                </c:pt>
                <c:pt idx="18" formatCode="0.00">
                  <c:v>1477.4348228407789</c:v>
                </c:pt>
                <c:pt idx="19" formatCode="0.00">
                  <c:v>1097.5916957731861</c:v>
                </c:pt>
                <c:pt idx="20" formatCode="0.00">
                  <c:v>1363.6904692138487</c:v>
                </c:pt>
                <c:pt idx="21" formatCode="0.00">
                  <c:v>1356.7308638369996</c:v>
                </c:pt>
                <c:pt idx="22" formatCode="0.00">
                  <c:v>1470.0210131187443</c:v>
                </c:pt>
                <c:pt idx="23" formatCode="0.00">
                  <c:v>1638.7639714982824</c:v>
                </c:pt>
                <c:pt idx="24" formatCode="0.00">
                  <c:v>1534.102126781529</c:v>
                </c:pt>
                <c:pt idx="25" formatCode="0.00">
                  <c:v>1294.559310983404</c:v>
                </c:pt>
                <c:pt idx="26" formatCode="0.00">
                  <c:v>1366.0083946525306</c:v>
                </c:pt>
                <c:pt idx="27" formatCode="0.00">
                  <c:v>1528.8694500947402</c:v>
                </c:pt>
                <c:pt idx="28" formatCode="0.00">
                  <c:v>1695.0659634454032</c:v>
                </c:pt>
                <c:pt idx="29" formatCode="0.00">
                  <c:v>2894.8405681007407</c:v>
                </c:pt>
                <c:pt idx="30" formatCode="0.00">
                  <c:v>1468.9966827963312</c:v>
                </c:pt>
                <c:pt idx="31" formatCode="0.00">
                  <c:v>1090.8245529714438</c:v>
                </c:pt>
                <c:pt idx="32" formatCode="0.00">
                  <c:v>1364.2654835272956</c:v>
                </c:pt>
                <c:pt idx="33" formatCode="0.00">
                  <c:v>1426.6877588552679</c:v>
                </c:pt>
                <c:pt idx="34" formatCode="0.00">
                  <c:v>1362.5805318169698</c:v>
                </c:pt>
                <c:pt idx="35" formatCode="0.00">
                  <c:v>1604.8239215719066</c:v>
                </c:pt>
                <c:pt idx="36" formatCode="0.00">
                  <c:v>1548.5471678990705</c:v>
                </c:pt>
                <c:pt idx="37" formatCode="0.00">
                  <c:v>1324.3575811514152</c:v>
                </c:pt>
                <c:pt idx="38" formatCode="0.00">
                  <c:v>1424.6861612397042</c:v>
                </c:pt>
                <c:pt idx="39" formatCode="0.00">
                  <c:v>1538.6200463086018</c:v>
                </c:pt>
                <c:pt idx="40" formatCode="0.00">
                  <c:v>1710.6999887367715</c:v>
                </c:pt>
                <c:pt idx="41" formatCode="0.00">
                  <c:v>2877.9957551313169</c:v>
                </c:pt>
                <c:pt idx="42" formatCode="0.00">
                  <c:v>1453.6275583746219</c:v>
                </c:pt>
                <c:pt idx="43" formatCode="0.00">
                  <c:v>1095.7788060142941</c:v>
                </c:pt>
                <c:pt idx="44" formatCode="0.00">
                  <c:v>1389.9914782001454</c:v>
                </c:pt>
                <c:pt idx="45" formatCode="0.00">
                  <c:v>1370.4728623697229</c:v>
                </c:pt>
                <c:pt idx="46" formatCode="0.00">
                  <c:v>1425.7537715936364</c:v>
                </c:pt>
                <c:pt idx="47" formatCode="0.00">
                  <c:v>1583.4397755071116</c:v>
                </c:pt>
                <c:pt idx="48" formatCode="0.00">
                  <c:v>1498.3317127383859</c:v>
                </c:pt>
                <c:pt idx="49" formatCode="0.00">
                  <c:v>1349.2083047856997</c:v>
                </c:pt>
                <c:pt idx="50" formatCode="0.00">
                  <c:v>1459.5909420309642</c:v>
                </c:pt>
                <c:pt idx="51" formatCode="0.00">
                  <c:v>1554.4560793136391</c:v>
                </c:pt>
                <c:pt idx="52" formatCode="0.00">
                  <c:v>1745.5287984923696</c:v>
                </c:pt>
                <c:pt idx="53" formatCode="0.00">
                  <c:v>2965.9387409559104</c:v>
                </c:pt>
                <c:pt idx="54" formatCode="0.00">
                  <c:v>1476.1052469045972</c:v>
                </c:pt>
                <c:pt idx="55" formatCode="0.00">
                  <c:v>1119.0665907573919</c:v>
                </c:pt>
                <c:pt idx="56" formatCode="0.00">
                  <c:v>1441.1484550823659</c:v>
                </c:pt>
                <c:pt idx="57" formatCode="0.00">
                  <c:v>1339.607456286768</c:v>
                </c:pt>
                <c:pt idx="58" formatCode="0.00">
                  <c:v>1158.6412009623459</c:v>
                </c:pt>
                <c:pt idx="59" formatCode="0.00">
                  <c:v>1529.6378973123285</c:v>
                </c:pt>
                <c:pt idx="60" formatCode="0.00">
                  <c:v>1478.6952910409414</c:v>
                </c:pt>
                <c:pt idx="61" formatCode="0.00">
                  <c:v>1449.4500652657916</c:v>
                </c:pt>
                <c:pt idx="62" formatCode="0.00">
                  <c:v>1393.5950557169344</c:v>
                </c:pt>
                <c:pt idx="63" formatCode="0.00">
                  <c:v>1517.3811907459924</c:v>
                </c:pt>
                <c:pt idx="64" formatCode="0.00">
                  <c:v>1766.442620560854</c:v>
                </c:pt>
                <c:pt idx="65" formatCode="0.00">
                  <c:v>3213.7778747566299</c:v>
                </c:pt>
                <c:pt idx="66" formatCode="0.00">
                  <c:v>1639.3535200715073</c:v>
                </c:pt>
                <c:pt idx="67" formatCode="0.00">
                  <c:v>1273.9147583125507</c:v>
                </c:pt>
                <c:pt idx="68" formatCode="0.00">
                  <c:v>1459.1271970151795</c:v>
                </c:pt>
                <c:pt idx="69" formatCode="0.00">
                  <c:v>1618.6279481797758</c:v>
                </c:pt>
                <c:pt idx="70" formatCode="0.00">
                  <c:v>1827.6596558522856</c:v>
                </c:pt>
                <c:pt idx="71" formatCode="0.00">
                  <c:v>1602.9912231595683</c:v>
                </c:pt>
                <c:pt idx="72" formatCode="0.00">
                  <c:v>1429.3442931330735</c:v>
                </c:pt>
                <c:pt idx="73" formatCode="0.00">
                  <c:v>1148.4634548132667</c:v>
                </c:pt>
                <c:pt idx="74" formatCode="0.00">
                  <c:v>1070.0841846832011</c:v>
                </c:pt>
                <c:pt idx="75" formatCode="0.00">
                  <c:v>1146.129098634638</c:v>
                </c:pt>
                <c:pt idx="76" formatCode="0.00">
                  <c:v>1551.682091438669</c:v>
                </c:pt>
                <c:pt idx="77" formatCode="0.00">
                  <c:v>2982.9080796700337</c:v>
                </c:pt>
                <c:pt idx="78" formatCode="0.00">
                  <c:v>1545.1112337043389</c:v>
                </c:pt>
                <c:pt idx="79" formatCode="0.00">
                  <c:v>1247.6226979373694</c:v>
                </c:pt>
                <c:pt idx="80" formatCode="0.00">
                  <c:v>1606.4528563281567</c:v>
                </c:pt>
                <c:pt idx="81" formatCode="0.00">
                  <c:v>1682.3768304562907</c:v>
                </c:pt>
                <c:pt idx="82" formatCode="0.00">
                  <c:v>1929.3660676299223</c:v>
                </c:pt>
                <c:pt idx="83" formatCode="0.00">
                  <c:v>1842.5882067378761</c:v>
                </c:pt>
                <c:pt idx="84" formatCode="0.00">
                  <c:v>1700.0943936306608</c:v>
                </c:pt>
                <c:pt idx="85" formatCode="0.00">
                  <c:v>1551.7074901325436</c:v>
                </c:pt>
                <c:pt idx="86" formatCode="0.00">
                  <c:v>1826.4854478423508</c:v>
                </c:pt>
                <c:pt idx="87" formatCode="0.00">
                  <c:v>2142.1847184194071</c:v>
                </c:pt>
                <c:pt idx="88" formatCode="0.00">
                  <c:v>2321.6929319916512</c:v>
                </c:pt>
                <c:pt idx="89" formatCode="0.00">
                  <c:v>3126.3887016704371</c:v>
                </c:pt>
                <c:pt idx="90" formatCode="0.00">
                  <c:v>1550.4647421239542</c:v>
                </c:pt>
                <c:pt idx="91" formatCode="0.00">
                  <c:v>1324.1513303844235</c:v>
                </c:pt>
                <c:pt idx="92" formatCode="0.00">
                  <c:v>1655.3204211874881</c:v>
                </c:pt>
                <c:pt idx="93" formatCode="0.00">
                  <c:v>1710.6920902488796</c:v>
                </c:pt>
                <c:pt idx="94" formatCode="0.00">
                  <c:v>1909.0543334112194</c:v>
                </c:pt>
                <c:pt idx="95" formatCode="0.00">
                  <c:v>1887.7355552756287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57-3C4C-A8B4-243DC58AA914}"/>
            </c:ext>
          </c:extLst>
        </c:ser>
        <c:ser>
          <c:idx val="2"/>
          <c:order val="2"/>
          <c:tx>
            <c:strRef>
              <c:f>'Exercise 2 WES'!$G$1</c:f>
              <c:strCache>
                <c:ptCount val="1"/>
                <c:pt idx="0">
                  <c:v>Out-of-sample forecast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'Exercise 2 WES'!$A$2:$A$109</c:f>
              <c:numCache>
                <c:formatCode>mmm\-yyyy</c:formatCode>
                <c:ptCount val="108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</c:numCache>
            </c:numRef>
          </c:cat>
          <c:val>
            <c:numRef>
              <c:f>'Exercise 2 WES'!$G$2:$G$141</c:f>
              <c:numCache>
                <c:formatCode>General</c:formatCode>
                <c:ptCount val="140"/>
                <c:pt idx="95" formatCode="0.00;\-0.00;0.00;@">
                  <c:v>1887.7355552756287</c:v>
                </c:pt>
                <c:pt idx="96" formatCode="0.00">
                  <c:v>1691.895691663344</c:v>
                </c:pt>
                <c:pt idx="97" formatCode="0.00">
                  <c:v>1480.3605154367026</c:v>
                </c:pt>
                <c:pt idx="98" formatCode="0.00">
                  <c:v>1610.1358256065819</c:v>
                </c:pt>
                <c:pt idx="99" formatCode="0.00">
                  <c:v>1832.6518369507974</c:v>
                </c:pt>
                <c:pt idx="100" formatCode="0.00">
                  <c:v>2252.679685570944</c:v>
                </c:pt>
                <c:pt idx="101" formatCode="0.00">
                  <c:v>3106.3258027897427</c:v>
                </c:pt>
                <c:pt idx="102" formatCode="0.00">
                  <c:v>1621.7736978565945</c:v>
                </c:pt>
                <c:pt idx="103" formatCode="0.00">
                  <c:v>1305.5870000776692</c:v>
                </c:pt>
                <c:pt idx="104" formatCode="0.00">
                  <c:v>1595.9273945086441</c:v>
                </c:pt>
                <c:pt idx="105" formatCode="0.00">
                  <c:v>1644.4867788507183</c:v>
                </c:pt>
                <c:pt idx="106" formatCode="0.00">
                  <c:v>1690.0389291803167</c:v>
                </c:pt>
                <c:pt idx="107" formatCode="0.00">
                  <c:v>1670.6410596734322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57-3C4C-A8B4-243DC58AA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493341871"/>
        <c:axId val="493345407"/>
      </c:lineChart>
      <c:dateAx>
        <c:axId val="493341871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345407"/>
        <c:crosses val="autoZero"/>
        <c:auto val="1"/>
        <c:lblOffset val="100"/>
        <c:baseTimeUnit val="months"/>
      </c:dateAx>
      <c:valAx>
        <c:axId val="493345407"/>
        <c:scaling>
          <c:orientation val="minMax"/>
        </c:scaling>
        <c:delete val="0"/>
        <c:axPos val="l"/>
        <c:numFmt formatCode="0.0;\-0.0;0.0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34187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'Exercise 2 WES'!$I$1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'Exercise 2 WES'!$I$2:$I$97</c:f>
              <c:numCache>
                <c:formatCode>General</c:formatCode>
                <c:ptCount val="96"/>
                <c:pt idx="12" formatCode="0.00_);\(0.00\)">
                  <c:v>-69.270601345433988</c:v>
                </c:pt>
                <c:pt idx="13" formatCode="0.00_);\(0.00\)">
                  <c:v>12.661942751003153</c:v>
                </c:pt>
                <c:pt idx="14" formatCode="0.00_);\(0.00\)">
                  <c:v>55.433787624337583</c:v>
                </c:pt>
                <c:pt idx="15" formatCode="0.00_);\(0.00\)">
                  <c:v>-28.748201268704179</c:v>
                </c:pt>
                <c:pt idx="16" formatCode="0.00_);\(0.00\)">
                  <c:v>23.928437965283365</c:v>
                </c:pt>
                <c:pt idx="17" formatCode="0.00_);\(0.00\)">
                  <c:v>41.303250364637279</c:v>
                </c:pt>
                <c:pt idx="18" formatCode="0.00_);\(0.00\)">
                  <c:v>-48.934822840778907</c:v>
                </c:pt>
                <c:pt idx="19" formatCode="0.00_);\(0.00\)">
                  <c:v>-5.1916957731859839</c:v>
                </c:pt>
                <c:pt idx="20" formatCode="0.00_);\(0.00\)">
                  <c:v>6.6095307861512538</c:v>
                </c:pt>
                <c:pt idx="21" formatCode="0.00_);\(0.00\)">
                  <c:v>165.86913616300035</c:v>
                </c:pt>
                <c:pt idx="22" formatCode="0.00_);\(0.00\)">
                  <c:v>-17.621013118744258</c:v>
                </c:pt>
                <c:pt idx="23" formatCode="0.00_);\(0.00\)">
                  <c:v>-81.563971498282399</c:v>
                </c:pt>
                <c:pt idx="24" formatCode="0.00_);\(0.00\)">
                  <c:v>-88.602126781529023</c:v>
                </c:pt>
                <c:pt idx="25" formatCode="0.00_);\(0.00\)">
                  <c:v>8.5406890165959339</c:v>
                </c:pt>
                <c:pt idx="26" formatCode="0.00_);\(0.00\)">
                  <c:v>41.191605347469476</c:v>
                </c:pt>
                <c:pt idx="27" formatCode="0.00_);\(0.00\)">
                  <c:v>-10.569450094740205</c:v>
                </c:pt>
                <c:pt idx="28" formatCode="0.00_);\(0.00\)">
                  <c:v>35.334036554596878</c:v>
                </c:pt>
                <c:pt idx="29" formatCode="0.00_);\(0.00\)">
                  <c:v>-72.240568100740802</c:v>
                </c:pt>
                <c:pt idx="30" formatCode="0.00_);\(0.00\)">
                  <c:v>-55.896682796331334</c:v>
                </c:pt>
                <c:pt idx="31" formatCode="0.00_);\(0.00\)">
                  <c:v>8.5754470285562547</c:v>
                </c:pt>
                <c:pt idx="32" formatCode="0.00_);\(0.00\)">
                  <c:v>51.934516472704445</c:v>
                </c:pt>
                <c:pt idx="33" formatCode="0.00_);\(0.00\)">
                  <c:v>-23.987758855267884</c:v>
                </c:pt>
                <c:pt idx="34" formatCode="0.00_);\(0.00\)">
                  <c:v>155.41946818303018</c:v>
                </c:pt>
                <c:pt idx="35" formatCode="0.00_);\(0.00\)">
                  <c:v>-17.623921571906521</c:v>
                </c:pt>
                <c:pt idx="36" formatCode="0.00_);\(0.00\)">
                  <c:v>-121.84716789907043</c:v>
                </c:pt>
                <c:pt idx="37" formatCode="0.00_);\(0.00\)">
                  <c:v>19.242418848584748</c:v>
                </c:pt>
                <c:pt idx="38" formatCode="0.00_);\(0.00\)">
                  <c:v>-25.886161239704279</c:v>
                </c:pt>
                <c:pt idx="39" formatCode="0.00_);\(0.00\)">
                  <c:v>-13.820046308601832</c:v>
                </c:pt>
                <c:pt idx="40" formatCode="0.00_);\(0.00\)">
                  <c:v>34.400011263228407</c:v>
                </c:pt>
                <c:pt idx="41" formatCode="0.00_);\(0.00\)">
                  <c:v>-64.495755131316855</c:v>
                </c:pt>
                <c:pt idx="42" formatCode="0.00_);\(0.00\)">
                  <c:v>-44.027558374622004</c:v>
                </c:pt>
                <c:pt idx="43" formatCode="0.00_);\(0.00\)">
                  <c:v>19.421193985705941</c:v>
                </c:pt>
                <c:pt idx="44" formatCode="0.00_);\(0.00\)">
                  <c:v>-34.29147820014532</c:v>
                </c:pt>
                <c:pt idx="45" formatCode="0.00_);\(0.00\)">
                  <c:v>104.12713763027705</c:v>
                </c:pt>
                <c:pt idx="46" formatCode="0.00_);\(0.00\)">
                  <c:v>86.246228406363571</c:v>
                </c:pt>
                <c:pt idx="47" formatCode="0.00_);\(0.00\)">
                  <c:v>-13.239775507111517</c:v>
                </c:pt>
                <c:pt idx="48" formatCode="0.00_);\(0.00\)">
                  <c:v>-59.131712738385886</c:v>
                </c:pt>
                <c:pt idx="49" formatCode="0.00_);\(0.00\)">
                  <c:v>32.191695214300353</c:v>
                </c:pt>
                <c:pt idx="50" formatCode="0.00_);\(0.00\)">
                  <c:v>-75.390942030964197</c:v>
                </c:pt>
                <c:pt idx="51" formatCode="0.00_);\(0.00\)">
                  <c:v>-9.9560793136390657</c:v>
                </c:pt>
                <c:pt idx="52" formatCode="0.00_);\(0.00\)">
                  <c:v>80.771201507630394</c:v>
                </c:pt>
                <c:pt idx="53" formatCode="0.00_);\(0.00\)">
                  <c:v>-146.03874095591027</c:v>
                </c:pt>
                <c:pt idx="54" formatCode="0.00_);\(0.00\)">
                  <c:v>-58.805246904597197</c:v>
                </c:pt>
                <c:pt idx="55" formatCode="0.00_);\(0.00\)">
                  <c:v>61.133409242608195</c:v>
                </c:pt>
                <c:pt idx="56" formatCode="0.00_);\(0.00\)">
                  <c:v>-199.74845508236581</c:v>
                </c:pt>
                <c:pt idx="57" formatCode="0.00_);\(0.00\)">
                  <c:v>-162.60745628676796</c:v>
                </c:pt>
                <c:pt idx="58" formatCode="0.00_);\(0.00\)">
                  <c:v>538.55879903765413</c:v>
                </c:pt>
                <c:pt idx="59" formatCode="0.00_);\(0.00\)">
                  <c:v>28.06210268767154</c:v>
                </c:pt>
                <c:pt idx="60" formatCode="0.00_);\(0.00\)">
                  <c:v>49.304708959058644</c:v>
                </c:pt>
                <c:pt idx="61" formatCode="0.00_);\(0.00\)">
                  <c:v>-212.65006526579168</c:v>
                </c:pt>
                <c:pt idx="62" formatCode="0.00_);\(0.00\)">
                  <c:v>-33.395055716934394</c:v>
                </c:pt>
                <c:pt idx="63" formatCode="0.00_);\(0.00\)">
                  <c:v>45.018809254007692</c:v>
                </c:pt>
                <c:pt idx="64" formatCode="0.00_);\(0.00\)">
                  <c:v>304.25737943914578</c:v>
                </c:pt>
                <c:pt idx="65" formatCode="0.00_);\(0.00\)">
                  <c:v>-201.07787475663008</c:v>
                </c:pt>
                <c:pt idx="66" formatCode="0.00_);\(0.00\)">
                  <c:v>-125.35352007150732</c:v>
                </c:pt>
                <c:pt idx="67" formatCode="0.00_);\(0.00\)">
                  <c:v>-76.214758312550657</c:v>
                </c:pt>
                <c:pt idx="68" formatCode="0.00_);\(0.00\)">
                  <c:v>141.07280298482056</c:v>
                </c:pt>
                <c:pt idx="69" formatCode="0.00_);\(0.00\)">
                  <c:v>-21.827948179775831</c:v>
                </c:pt>
                <c:pt idx="70" formatCode="0.00_);\(0.00\)">
                  <c:v>-225.55965585228569</c:v>
                </c:pt>
                <c:pt idx="71" formatCode="0.00_);\(0.00\)">
                  <c:v>-42.79122315956829</c:v>
                </c:pt>
                <c:pt idx="72" formatCode="0.00_);\(0.00\)">
                  <c:v>-115.44429313307342</c:v>
                </c:pt>
                <c:pt idx="73" formatCode="0.00_);\(0.00\)">
                  <c:v>-115.96345481326671</c:v>
                </c:pt>
                <c:pt idx="74" formatCode="0.00_);\(0.00\)">
                  <c:v>67.515815316798808</c:v>
                </c:pt>
                <c:pt idx="75" formatCode="0.00_);\(0.00\)">
                  <c:v>347.27090136536208</c:v>
                </c:pt>
                <c:pt idx="76" formatCode="0.00_);\(0.00\)">
                  <c:v>554.51790856133084</c:v>
                </c:pt>
                <c:pt idx="77" formatCode="0.00_);\(0.00\)">
                  <c:v>-217.40807967003366</c:v>
                </c:pt>
                <c:pt idx="78" formatCode="0.00_);\(0.00\)">
                  <c:v>-98.211233704338838</c:v>
                </c:pt>
                <c:pt idx="79" formatCode="0.00_);\(0.00\)">
                  <c:v>11.977302062630542</c:v>
                </c:pt>
                <c:pt idx="80" formatCode="0.00_);\(0.00\)">
                  <c:v>-7.1528563281567585</c:v>
                </c:pt>
                <c:pt idx="81" formatCode="0.00_);\(0.00\)">
                  <c:v>42.623169543709309</c:v>
                </c:pt>
                <c:pt idx="82" formatCode="0.00_);\(0.00\)">
                  <c:v>-161.76606762992242</c:v>
                </c:pt>
                <c:pt idx="83" formatCode="0.00_);\(0.00\)">
                  <c:v>-24.688206737876044</c:v>
                </c:pt>
                <c:pt idx="84" formatCode="0.00_);\(0.00\)">
                  <c:v>60.205606369339193</c:v>
                </c:pt>
                <c:pt idx="85" formatCode="0.00_);\(0.00\)">
                  <c:v>66.292509867456374</c:v>
                </c:pt>
                <c:pt idx="86" formatCode="0.00_);\(0.00\)">
                  <c:v>-82.385447842350914</c:v>
                </c:pt>
                <c:pt idx="87" formatCode="0.00_);\(0.00\)">
                  <c:v>-311.284718419407</c:v>
                </c:pt>
                <c:pt idx="88" formatCode="0.00_);\(0.00\)">
                  <c:v>-29.092931991651312</c:v>
                </c:pt>
                <c:pt idx="89" formatCode="0.00_);\(0.00\)">
                  <c:v>-38.18870167043724</c:v>
                </c:pt>
                <c:pt idx="90" formatCode="0.00_);\(0.00\)">
                  <c:v>137.33525787604572</c:v>
                </c:pt>
                <c:pt idx="91" formatCode="0.00_);\(0.00\)">
                  <c:v>32.5486696155765</c:v>
                </c:pt>
                <c:pt idx="92" formatCode="0.00_);\(0.00\)">
                  <c:v>18.879578812511909</c:v>
                </c:pt>
                <c:pt idx="93" formatCode="0.00_);\(0.00\)">
                  <c:v>109.90790975112031</c:v>
                </c:pt>
                <c:pt idx="94" formatCode="0.00_);\(0.00\)">
                  <c:v>-75.554333411219432</c:v>
                </c:pt>
                <c:pt idx="95" formatCode="0.00_);\(0.00\)">
                  <c:v>-110.23555527562871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65-EC4E-B01D-F03A3B7F7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044000"/>
        <c:axId val="464635935"/>
      </c:scatterChart>
      <c:valAx>
        <c:axId val="24304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635935"/>
        <c:crosses val="autoZero"/>
        <c:crossBetween val="midCat"/>
      </c:valAx>
      <c:valAx>
        <c:axId val="46463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04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AU" sz="1400"/>
              <a:t>Autocorrelation of Errors for Total State Department Stores Turnover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acf</c:v>
          </c:tx>
          <c:invertIfNegative val="0"/>
          <c:cat>
            <c:numRef>
              <c:f>'Exercise 2 WES (Optimised)'!$T$11:$T$35</c:f>
              <c:numCache>
                <c:formatCode>General</c:formatCode>
                <c:ptCount val="25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'Exercise 2 WES (Optimised)'!$U$11:$U$35</c:f>
              <c:numCache>
                <c:formatCode>General</c:formatCode>
                <c:ptCount val="25"/>
                <c:pt idx="1">
                  <c:v>6.142022205480497E-2</c:v>
                </c:pt>
                <c:pt idx="2">
                  <c:v>-0.14183697146252638</c:v>
                </c:pt>
                <c:pt idx="3">
                  <c:v>-0.12997844742145268</c:v>
                </c:pt>
                <c:pt idx="4">
                  <c:v>2.7998071281125545E-3</c:v>
                </c:pt>
                <c:pt idx="5">
                  <c:v>2.9177291836112736E-2</c:v>
                </c:pt>
                <c:pt idx="6">
                  <c:v>-1.033699974426879E-2</c:v>
                </c:pt>
                <c:pt idx="7">
                  <c:v>-0.14084160557352404</c:v>
                </c:pt>
                <c:pt idx="8">
                  <c:v>-0.10649842474534311</c:v>
                </c:pt>
                <c:pt idx="9">
                  <c:v>-4.3818448885580605E-2</c:v>
                </c:pt>
                <c:pt idx="10">
                  <c:v>-7.1786680129648964E-2</c:v>
                </c:pt>
                <c:pt idx="11">
                  <c:v>-0.13464565590830915</c:v>
                </c:pt>
                <c:pt idx="12">
                  <c:v>6.0924268450673662E-2</c:v>
                </c:pt>
                <c:pt idx="13">
                  <c:v>-2.0764716057060619E-2</c:v>
                </c:pt>
                <c:pt idx="14">
                  <c:v>-8.8098840837202499E-2</c:v>
                </c:pt>
                <c:pt idx="15">
                  <c:v>-6.0679079291910609E-3</c:v>
                </c:pt>
                <c:pt idx="16">
                  <c:v>0.12184866032344155</c:v>
                </c:pt>
                <c:pt idx="17">
                  <c:v>0.31571086791495595</c:v>
                </c:pt>
                <c:pt idx="18">
                  <c:v>0.19311108698551577</c:v>
                </c:pt>
                <c:pt idx="19">
                  <c:v>-0.20544821287869131</c:v>
                </c:pt>
                <c:pt idx="20">
                  <c:v>-8.4266409912582482E-2</c:v>
                </c:pt>
                <c:pt idx="21">
                  <c:v>0.11018221353544314</c:v>
                </c:pt>
                <c:pt idx="22">
                  <c:v>-7.9096783319138664E-2</c:v>
                </c:pt>
                <c:pt idx="23">
                  <c:v>-8.7313031390815837E-2</c:v>
                </c:pt>
                <c:pt idx="24">
                  <c:v>2.6330025378965623E-2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3A-9341-BADE-CAF156D33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8310960"/>
        <c:axId val="2015919456"/>
      </c:barChart>
      <c:lineChart>
        <c:grouping val="standard"/>
        <c:varyColors val="0"/>
        <c:ser>
          <c:idx val="0"/>
          <c:order val="0"/>
          <c:tx>
            <c:strRef>
              <c:f>'Exercise 2 WES (Optimised)'!$V$10</c:f>
              <c:strCache>
                <c:ptCount val="1"/>
                <c:pt idx="0">
                  <c:v>lower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'Exercise 2 WES (Optimised)'!$T$11:$T$35</c:f>
              <c:numCache>
                <c:formatCode>General</c:formatCode>
                <c:ptCount val="25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cat>
          <c:val>
            <c:numRef>
              <c:f>'Exercise 2 WES (Optimised)'!$V$11:$V$35</c:f>
              <c:numCache>
                <c:formatCode>General</c:formatCode>
                <c:ptCount val="25"/>
                <c:pt idx="1">
                  <c:v>-0.21384960282242985</c:v>
                </c:pt>
                <c:pt idx="2">
                  <c:v>-0.21465482243574274</c:v>
                </c:pt>
                <c:pt idx="3">
                  <c:v>-0.21889889573136209</c:v>
                </c:pt>
                <c:pt idx="4">
                  <c:v>-0.22240041349664891</c:v>
                </c:pt>
                <c:pt idx="5">
                  <c:v>-0.2224020253887295</c:v>
                </c:pt>
                <c:pt idx="6">
                  <c:v>-0.22257700897011773</c:v>
                </c:pt>
                <c:pt idx="7">
                  <c:v>-0.22259896249129127</c:v>
                </c:pt>
                <c:pt idx="8">
                  <c:v>-0.22663758946021439</c:v>
                </c:pt>
                <c:pt idx="9">
                  <c:v>-0.22891475693361144</c:v>
                </c:pt>
                <c:pt idx="10">
                  <c:v>-0.22929801711382491</c:v>
                </c:pt>
                <c:pt idx="11">
                  <c:v>-0.23032351380921334</c:v>
                </c:pt>
                <c:pt idx="12">
                  <c:v>-0.23389549092640591</c:v>
                </c:pt>
                <c:pt idx="13">
                  <c:v>-0.23462009953725227</c:v>
                </c:pt>
                <c:pt idx="14">
                  <c:v>-0.23470412790188408</c:v>
                </c:pt>
                <c:pt idx="15">
                  <c:v>-0.23621158201521048</c:v>
                </c:pt>
                <c:pt idx="16">
                  <c:v>-0.23621871033409564</c:v>
                </c:pt>
                <c:pt idx="17">
                  <c:v>-0.23907581138116987</c:v>
                </c:pt>
                <c:pt idx="18">
                  <c:v>-0.25743678412035931</c:v>
                </c:pt>
                <c:pt idx="19">
                  <c:v>-0.26397828985000732</c:v>
                </c:pt>
                <c:pt idx="20">
                  <c:v>-0.27119201546655375</c:v>
                </c:pt>
                <c:pt idx="21">
                  <c:v>-0.27238681032139078</c:v>
                </c:pt>
                <c:pt idx="22">
                  <c:v>-0.2744174738511983</c:v>
                </c:pt>
                <c:pt idx="23">
                  <c:v>-0.2754581128502524</c:v>
                </c:pt>
                <c:pt idx="24">
                  <c:v>-0.27672088542241274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A-9341-BADE-CAF156D33F5D}"/>
            </c:ext>
          </c:extLst>
        </c:ser>
        <c:ser>
          <c:idx val="1"/>
          <c:order val="1"/>
          <c:tx>
            <c:strRef>
              <c:f>'Exercise 2 WES (Optimised)'!$W$10</c:f>
              <c:strCache>
                <c:ptCount val="1"/>
                <c:pt idx="0">
                  <c:v>upper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val>
            <c:numRef>
              <c:f>'Exercise 2 WES (Optimised)'!$W$11:$W$35</c:f>
              <c:numCache>
                <c:formatCode>General</c:formatCode>
                <c:ptCount val="25"/>
                <c:pt idx="1">
                  <c:v>0.21384960282242985</c:v>
                </c:pt>
                <c:pt idx="2">
                  <c:v>0.21465482243574274</c:v>
                </c:pt>
                <c:pt idx="3">
                  <c:v>0.21889889573136209</c:v>
                </c:pt>
                <c:pt idx="4">
                  <c:v>0.22240041349664891</c:v>
                </c:pt>
                <c:pt idx="5">
                  <c:v>0.2224020253887295</c:v>
                </c:pt>
                <c:pt idx="6">
                  <c:v>0.22257700897011773</c:v>
                </c:pt>
                <c:pt idx="7">
                  <c:v>0.22259896249129127</c:v>
                </c:pt>
                <c:pt idx="8">
                  <c:v>0.22663758946021439</c:v>
                </c:pt>
                <c:pt idx="9">
                  <c:v>0.22891475693361144</c:v>
                </c:pt>
                <c:pt idx="10">
                  <c:v>0.22929801711382491</c:v>
                </c:pt>
                <c:pt idx="11">
                  <c:v>0.23032351380921334</c:v>
                </c:pt>
                <c:pt idx="12">
                  <c:v>0.23389549092640591</c:v>
                </c:pt>
                <c:pt idx="13">
                  <c:v>0.23462009953725227</c:v>
                </c:pt>
                <c:pt idx="14">
                  <c:v>0.23470412790188408</c:v>
                </c:pt>
                <c:pt idx="15">
                  <c:v>0.23621158201521048</c:v>
                </c:pt>
                <c:pt idx="16">
                  <c:v>0.23621871033409564</c:v>
                </c:pt>
                <c:pt idx="17">
                  <c:v>0.23907581138116987</c:v>
                </c:pt>
                <c:pt idx="18">
                  <c:v>0.25743678412035931</c:v>
                </c:pt>
                <c:pt idx="19">
                  <c:v>0.26397828985000732</c:v>
                </c:pt>
                <c:pt idx="20">
                  <c:v>0.27119201546655375</c:v>
                </c:pt>
                <c:pt idx="21">
                  <c:v>0.27238681032139078</c:v>
                </c:pt>
                <c:pt idx="22">
                  <c:v>0.2744174738511983</c:v>
                </c:pt>
                <c:pt idx="23">
                  <c:v>0.2754581128502524</c:v>
                </c:pt>
                <c:pt idx="24">
                  <c:v>0.27672088542241274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A-9341-BADE-CAF156D33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8310960"/>
        <c:axId val="2015919456"/>
      </c:lineChart>
      <c:catAx>
        <c:axId val="1498310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Lag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5919456"/>
        <c:crosses val="autoZero"/>
        <c:auto val="1"/>
        <c:lblAlgn val="ctr"/>
        <c:lblOffset val="100"/>
        <c:noMultiLvlLbl val="0"/>
      </c:catAx>
      <c:valAx>
        <c:axId val="20159194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Autocorrelation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8310960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cap="none" baseline="0"/>
              <a:t>Actual data (July 2015 - June 2023) vs. Within and Out-of-sample Forecast for Total State </a:t>
            </a:r>
            <a:r>
              <a:rPr lang="en-AU"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Department Stores</a:t>
            </a:r>
            <a:r>
              <a:rPr lang="en-AU" sz="1400" b="0" i="0" u="none" strike="noStrike" cap="none" baseline="0"/>
              <a:t> Turnover (Original-Adjusted Data)</a:t>
            </a:r>
            <a:endPara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'Exercise 2 WES (Optimised)'!$B$1</c:f>
              <c:strCache>
                <c:ptCount val="1"/>
                <c:pt idx="0">
                  <c:v>Actual Data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'Exercise 2 WES (Optimised)'!$A$2:$A$109</c:f>
              <c:numCache>
                <c:formatCode>mmm\-yyyy</c:formatCode>
                <c:ptCount val="108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</c:numCache>
            </c:numRef>
          </c:cat>
          <c:val>
            <c:numRef>
              <c:f>'Exercise 2 WES (Optimised)'!$B$2:$B$109</c:f>
              <c:numCache>
                <c:formatCode>0.0;\-0.0;0.0;@</c:formatCode>
                <c:ptCount val="108"/>
                <c:pt idx="0">
                  <c:v>1540.9</c:v>
                </c:pt>
                <c:pt idx="1">
                  <c:v>1331.9</c:v>
                </c:pt>
                <c:pt idx="2">
                  <c:v>1400.1</c:v>
                </c:pt>
                <c:pt idx="3">
                  <c:v>1566.3</c:v>
                </c:pt>
                <c:pt idx="4">
                  <c:v>1730.5</c:v>
                </c:pt>
                <c:pt idx="5">
                  <c:v>2913.6</c:v>
                </c:pt>
                <c:pt idx="6">
                  <c:v>1519.2</c:v>
                </c:pt>
                <c:pt idx="7">
                  <c:v>1155.8</c:v>
                </c:pt>
                <c:pt idx="8">
                  <c:v>1451.5</c:v>
                </c:pt>
                <c:pt idx="9">
                  <c:v>1451</c:v>
                </c:pt>
                <c:pt idx="10">
                  <c:v>1449.7</c:v>
                </c:pt>
                <c:pt idx="11">
                  <c:v>1596.1</c:v>
                </c:pt>
                <c:pt idx="12">
                  <c:v>1468.3</c:v>
                </c:pt>
                <c:pt idx="13">
                  <c:v>1293.9000000000001</c:v>
                </c:pt>
                <c:pt idx="14">
                  <c:v>1393.5</c:v>
                </c:pt>
                <c:pt idx="15">
                  <c:v>1497.4</c:v>
                </c:pt>
                <c:pt idx="16">
                  <c:v>1684.3</c:v>
                </c:pt>
                <c:pt idx="17">
                  <c:v>2850.4</c:v>
                </c:pt>
                <c:pt idx="18">
                  <c:v>1428.5</c:v>
                </c:pt>
                <c:pt idx="19">
                  <c:v>1092.4000000000001</c:v>
                </c:pt>
                <c:pt idx="20">
                  <c:v>1370.3</c:v>
                </c:pt>
                <c:pt idx="21">
                  <c:v>1522.6</c:v>
                </c:pt>
                <c:pt idx="22">
                  <c:v>1452.4</c:v>
                </c:pt>
                <c:pt idx="23">
                  <c:v>1557.2</c:v>
                </c:pt>
                <c:pt idx="24">
                  <c:v>1445.5</c:v>
                </c:pt>
                <c:pt idx="25">
                  <c:v>1303.0999999999999</c:v>
                </c:pt>
                <c:pt idx="26">
                  <c:v>1407.2</c:v>
                </c:pt>
                <c:pt idx="27">
                  <c:v>1518.3</c:v>
                </c:pt>
                <c:pt idx="28">
                  <c:v>1730.4</c:v>
                </c:pt>
                <c:pt idx="29">
                  <c:v>2822.6</c:v>
                </c:pt>
                <c:pt idx="30">
                  <c:v>1413.1</c:v>
                </c:pt>
                <c:pt idx="31">
                  <c:v>1099.4000000000001</c:v>
                </c:pt>
                <c:pt idx="32">
                  <c:v>1416.2</c:v>
                </c:pt>
                <c:pt idx="33">
                  <c:v>1402.7</c:v>
                </c:pt>
                <c:pt idx="34">
                  <c:v>1518</c:v>
                </c:pt>
                <c:pt idx="35">
                  <c:v>1587.2</c:v>
                </c:pt>
                <c:pt idx="36">
                  <c:v>1426.7</c:v>
                </c:pt>
                <c:pt idx="37">
                  <c:v>1343.6</c:v>
                </c:pt>
                <c:pt idx="38">
                  <c:v>1398.8</c:v>
                </c:pt>
                <c:pt idx="39">
                  <c:v>1524.8</c:v>
                </c:pt>
                <c:pt idx="40">
                  <c:v>1745.1</c:v>
                </c:pt>
                <c:pt idx="41">
                  <c:v>2813.5</c:v>
                </c:pt>
                <c:pt idx="42">
                  <c:v>1409.6</c:v>
                </c:pt>
                <c:pt idx="43">
                  <c:v>1115.2</c:v>
                </c:pt>
                <c:pt idx="44">
                  <c:v>1355.7</c:v>
                </c:pt>
                <c:pt idx="45">
                  <c:v>1474.6</c:v>
                </c:pt>
                <c:pt idx="46">
                  <c:v>1512</c:v>
                </c:pt>
                <c:pt idx="47">
                  <c:v>1570.2</c:v>
                </c:pt>
                <c:pt idx="48">
                  <c:v>1439.2</c:v>
                </c:pt>
                <c:pt idx="49">
                  <c:v>1381.4</c:v>
                </c:pt>
                <c:pt idx="50">
                  <c:v>1384.2</c:v>
                </c:pt>
                <c:pt idx="51">
                  <c:v>1544.5</c:v>
                </c:pt>
                <c:pt idx="52">
                  <c:v>1826.3</c:v>
                </c:pt>
                <c:pt idx="53">
                  <c:v>2819.9</c:v>
                </c:pt>
                <c:pt idx="54">
                  <c:v>1417.3</c:v>
                </c:pt>
                <c:pt idx="55">
                  <c:v>1180.2</c:v>
                </c:pt>
                <c:pt idx="56">
                  <c:v>1241.4000000000001</c:v>
                </c:pt>
                <c:pt idx="57">
                  <c:v>1177</c:v>
                </c:pt>
                <c:pt idx="58">
                  <c:v>1697.2</c:v>
                </c:pt>
                <c:pt idx="59">
                  <c:v>1557.7</c:v>
                </c:pt>
                <c:pt idx="60">
                  <c:v>1528</c:v>
                </c:pt>
                <c:pt idx="61">
                  <c:v>1236.8</c:v>
                </c:pt>
                <c:pt idx="62">
                  <c:v>1360.2</c:v>
                </c:pt>
                <c:pt idx="63">
                  <c:v>1562.4</c:v>
                </c:pt>
                <c:pt idx="64">
                  <c:v>2070.6999999999998</c:v>
                </c:pt>
                <c:pt idx="65">
                  <c:v>3012.7</c:v>
                </c:pt>
                <c:pt idx="66">
                  <c:v>1514</c:v>
                </c:pt>
                <c:pt idx="67">
                  <c:v>1197.7</c:v>
                </c:pt>
                <c:pt idx="68">
                  <c:v>1600.2</c:v>
                </c:pt>
                <c:pt idx="69">
                  <c:v>1596.8</c:v>
                </c:pt>
                <c:pt idx="70">
                  <c:v>1602.1</c:v>
                </c:pt>
                <c:pt idx="71">
                  <c:v>1560.2</c:v>
                </c:pt>
                <c:pt idx="72">
                  <c:v>1313.9</c:v>
                </c:pt>
                <c:pt idx="73">
                  <c:v>1032.5</c:v>
                </c:pt>
                <c:pt idx="74">
                  <c:v>1137.5999999999999</c:v>
                </c:pt>
                <c:pt idx="75">
                  <c:v>1493.4</c:v>
                </c:pt>
                <c:pt idx="76">
                  <c:v>2106.1999999999998</c:v>
                </c:pt>
                <c:pt idx="77">
                  <c:v>2765.5</c:v>
                </c:pt>
                <c:pt idx="78">
                  <c:v>1446.9</c:v>
                </c:pt>
                <c:pt idx="79">
                  <c:v>1259.5999999999999</c:v>
                </c:pt>
                <c:pt idx="80">
                  <c:v>1599.3</c:v>
                </c:pt>
                <c:pt idx="81">
                  <c:v>1725</c:v>
                </c:pt>
                <c:pt idx="82">
                  <c:v>1767.6</c:v>
                </c:pt>
                <c:pt idx="83">
                  <c:v>1817.9</c:v>
                </c:pt>
                <c:pt idx="84">
                  <c:v>1760.3</c:v>
                </c:pt>
                <c:pt idx="85">
                  <c:v>1618</c:v>
                </c:pt>
                <c:pt idx="86">
                  <c:v>1744.1</c:v>
                </c:pt>
                <c:pt idx="87">
                  <c:v>1830.9</c:v>
                </c:pt>
                <c:pt idx="88">
                  <c:v>2292.6</c:v>
                </c:pt>
                <c:pt idx="89">
                  <c:v>3088.2</c:v>
                </c:pt>
                <c:pt idx="90">
                  <c:v>1687.8</c:v>
                </c:pt>
                <c:pt idx="91">
                  <c:v>1356.7</c:v>
                </c:pt>
                <c:pt idx="92">
                  <c:v>1674.2</c:v>
                </c:pt>
                <c:pt idx="93">
                  <c:v>1820.6</c:v>
                </c:pt>
                <c:pt idx="94">
                  <c:v>1833.5</c:v>
                </c:pt>
                <c:pt idx="95">
                  <c:v>1777.5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51-B64D-B0D0-988597DACAC8}"/>
            </c:ext>
          </c:extLst>
        </c:ser>
        <c:ser>
          <c:idx val="1"/>
          <c:order val="1"/>
          <c:tx>
            <c:strRef>
              <c:f>'Exercise 2 WES (Optimised)'!$F$1</c:f>
              <c:strCache>
                <c:ptCount val="1"/>
                <c:pt idx="0">
                  <c:v>Within sample Forecast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'Exercise 2 WES (Optimised)'!$A$2:$A$109</c:f>
              <c:numCache>
                <c:formatCode>mmm\-yyyy</c:formatCode>
                <c:ptCount val="108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</c:numCache>
            </c:numRef>
          </c:cat>
          <c:val>
            <c:numRef>
              <c:f>'Exercise 2 WES (Optimised)'!$F$2:$F$141</c:f>
              <c:numCache>
                <c:formatCode>General</c:formatCode>
                <c:ptCount val="140"/>
                <c:pt idx="12" formatCode="0.00">
                  <c:v>1537.5706013454339</c:v>
                </c:pt>
                <c:pt idx="13" formatCode="0.00">
                  <c:v>1294.2850393032522</c:v>
                </c:pt>
                <c:pt idx="14" formatCode="0.00">
                  <c:v>1357.3184203372357</c:v>
                </c:pt>
                <c:pt idx="15" formatCode="0.00">
                  <c:v>1536.593150706492</c:v>
                </c:pt>
                <c:pt idx="16" formatCode="0.00">
                  <c:v>1670.8990379883003</c:v>
                </c:pt>
                <c:pt idx="17" formatCode="0.00">
                  <c:v>2818.9615919084258</c:v>
                </c:pt>
                <c:pt idx="18" formatCode="0.00">
                  <c:v>1475.2938335472747</c:v>
                </c:pt>
                <c:pt idx="19" formatCode="0.00">
                  <c:v>1100.9561644254766</c:v>
                </c:pt>
                <c:pt idx="20" formatCode="0.00">
                  <c:v>1373.7712068448116</c:v>
                </c:pt>
                <c:pt idx="21" formatCode="0.00">
                  <c:v>1368.3164478291869</c:v>
                </c:pt>
                <c:pt idx="22" formatCode="0.00">
                  <c:v>1445.9783904533069</c:v>
                </c:pt>
                <c:pt idx="23" formatCode="0.00">
                  <c:v>1592.315869001781</c:v>
                </c:pt>
                <c:pt idx="24" formatCode="0.00">
                  <c:v>1495.040233144776</c:v>
                </c:pt>
                <c:pt idx="25" formatCode="0.00">
                  <c:v>1284.1782787594614</c:v>
                </c:pt>
                <c:pt idx="26" formatCode="0.00">
                  <c:v>1368.2408184414269</c:v>
                </c:pt>
                <c:pt idx="27" formatCode="0.00">
                  <c:v>1526.5500977663189</c:v>
                </c:pt>
                <c:pt idx="28" formatCode="0.00">
                  <c:v>1695.0669062280535</c:v>
                </c:pt>
                <c:pt idx="29" formatCode="0.00">
                  <c:v>2881.9383723505011</c:v>
                </c:pt>
                <c:pt idx="30" formatCode="0.00">
                  <c:v>1463.8528112700105</c:v>
                </c:pt>
                <c:pt idx="31" formatCode="0.00">
                  <c:v>1098.6950251097401</c:v>
                </c:pt>
                <c:pt idx="32" formatCode="0.00">
                  <c:v>1379.2953439137568</c:v>
                </c:pt>
                <c:pt idx="33" formatCode="0.00">
                  <c:v>1440.6056236416173</c:v>
                </c:pt>
                <c:pt idx="34" formatCode="0.00">
                  <c:v>1374.2646210842697</c:v>
                </c:pt>
                <c:pt idx="35" formatCode="0.00">
                  <c:v>1581.1198175077661</c:v>
                </c:pt>
                <c:pt idx="36" formatCode="0.00">
                  <c:v>1500.1211556166213</c:v>
                </c:pt>
                <c:pt idx="37" formatCode="0.00">
                  <c:v>1296.1067738843374</c:v>
                </c:pt>
                <c:pt idx="38" formatCode="0.00">
                  <c:v>1402.5367001036004</c:v>
                </c:pt>
                <c:pt idx="39" formatCode="0.00">
                  <c:v>1524.0586786807251</c:v>
                </c:pt>
                <c:pt idx="40" formatCode="0.00">
                  <c:v>1710.8164876321157</c:v>
                </c:pt>
                <c:pt idx="41" formatCode="0.00">
                  <c:v>2871.8416025339907</c:v>
                </c:pt>
                <c:pt idx="42" formatCode="0.00">
                  <c:v>1452.6075979910183</c:v>
                </c:pt>
                <c:pt idx="43" formatCode="0.00">
                  <c:v>1105.0953577972928</c:v>
                </c:pt>
                <c:pt idx="44" formatCode="0.00">
                  <c:v>1404.3170777732864</c:v>
                </c:pt>
                <c:pt idx="45" formatCode="0.00">
                  <c:v>1397.1806485076172</c:v>
                </c:pt>
                <c:pt idx="46" formatCode="0.00">
                  <c:v>1444.2268344438908</c:v>
                </c:pt>
                <c:pt idx="47" formatCode="0.00">
                  <c:v>1568.8392265340847</c:v>
                </c:pt>
                <c:pt idx="48" formatCode="0.00">
                  <c:v>1462.1701700337826</c:v>
                </c:pt>
                <c:pt idx="49" formatCode="0.00">
                  <c:v>1319.7959971234877</c:v>
                </c:pt>
                <c:pt idx="50" formatCode="0.00">
                  <c:v>1419.3563332498611</c:v>
                </c:pt>
                <c:pt idx="51" formatCode="0.00">
                  <c:v>1525.6048215972032</c:v>
                </c:pt>
                <c:pt idx="52" formatCode="0.00">
                  <c:v>1733.3451043495163</c:v>
                </c:pt>
                <c:pt idx="53" formatCode="0.00">
                  <c:v>2925.8811084681461</c:v>
                </c:pt>
                <c:pt idx="54" formatCode="0.00">
                  <c:v>1463.1340654929422</c:v>
                </c:pt>
                <c:pt idx="55" formatCode="0.00">
                  <c:v>1125.2012451107591</c:v>
                </c:pt>
                <c:pt idx="56" formatCode="0.00">
                  <c:v>1440.8281382260921</c:v>
                </c:pt>
                <c:pt idx="57" formatCode="0.00">
                  <c:v>1389.0581265682333</c:v>
                </c:pt>
                <c:pt idx="58" formatCode="0.00">
                  <c:v>1277.979845925013</c:v>
                </c:pt>
                <c:pt idx="59" formatCode="0.00">
                  <c:v>1569.8448035174838</c:v>
                </c:pt>
                <c:pt idx="60" formatCode="0.00">
                  <c:v>1449.1534811247784</c:v>
                </c:pt>
                <c:pt idx="61" formatCode="0.00">
                  <c:v>1382.2907920132932</c:v>
                </c:pt>
                <c:pt idx="62" formatCode="0.00">
                  <c:v>1340.7310738650799</c:v>
                </c:pt>
                <c:pt idx="63" formatCode="0.00">
                  <c:v>1488.0462335700231</c:v>
                </c:pt>
                <c:pt idx="64" formatCode="0.00">
                  <c:v>1744.6066392077601</c:v>
                </c:pt>
                <c:pt idx="65" formatCode="0.00">
                  <c:v>3066.0901643856005</c:v>
                </c:pt>
                <c:pt idx="66" formatCode="0.00">
                  <c:v>1551.4845262439617</c:v>
                </c:pt>
                <c:pt idx="67" formatCode="0.00">
                  <c:v>1226.5906966123646</c:v>
                </c:pt>
                <c:pt idx="68" formatCode="0.00">
                  <c:v>1424.2879745861339</c:v>
                </c:pt>
                <c:pt idx="69" formatCode="0.00">
                  <c:v>1572.0386736228565</c:v>
                </c:pt>
                <c:pt idx="70" formatCode="0.00">
                  <c:v>1810.0321970241191</c:v>
                </c:pt>
                <c:pt idx="71" formatCode="0.00">
                  <c:v>1637.1666329492759</c:v>
                </c:pt>
                <c:pt idx="72" formatCode="0.00">
                  <c:v>1506.4459013309349</c:v>
                </c:pt>
                <c:pt idx="73" formatCode="0.00">
                  <c:v>1238.5978146531543</c:v>
                </c:pt>
                <c:pt idx="74" formatCode="0.00">
                  <c:v>1204.6217363476692</c:v>
                </c:pt>
                <c:pt idx="75" formatCode="0.00">
                  <c:v>1300.0618464881322</c:v>
                </c:pt>
                <c:pt idx="76" formatCode="0.00">
                  <c:v>1658.9091070225313</c:v>
                </c:pt>
                <c:pt idx="77" formatCode="0.00">
                  <c:v>2870.5982483998077</c:v>
                </c:pt>
                <c:pt idx="78" formatCode="0.00">
                  <c:v>1434.4011079886557</c:v>
                </c:pt>
                <c:pt idx="79" formatCode="0.00">
                  <c:v>1154.2046959447357</c:v>
                </c:pt>
                <c:pt idx="80" formatCode="0.00">
                  <c:v>1482.8649857338653</c:v>
                </c:pt>
                <c:pt idx="81" formatCode="0.00">
                  <c:v>1553.6944297319503</c:v>
                </c:pt>
                <c:pt idx="82" formatCode="0.00">
                  <c:v>1801.4152459137974</c:v>
                </c:pt>
                <c:pt idx="83" formatCode="0.00">
                  <c:v>1757.7904508157369</c:v>
                </c:pt>
                <c:pt idx="84" formatCode="0.00">
                  <c:v>1644.1651060249312</c:v>
                </c:pt>
                <c:pt idx="85" formatCode="0.00">
                  <c:v>1484.490896971972</c:v>
                </c:pt>
                <c:pt idx="86" formatCode="0.00">
                  <c:v>1726.6549494019093</c:v>
                </c:pt>
                <c:pt idx="87" formatCode="0.00">
                  <c:v>2046.5944029808172</c:v>
                </c:pt>
                <c:pt idx="88" formatCode="0.00">
                  <c:v>2349.7268759908743</c:v>
                </c:pt>
                <c:pt idx="89" formatCode="0.00">
                  <c:v>3243.9363529947254</c:v>
                </c:pt>
                <c:pt idx="90" formatCode="0.00">
                  <c:v>1633.6782897247663</c:v>
                </c:pt>
                <c:pt idx="91" formatCode="0.00">
                  <c:v>1362.9564754552971</c:v>
                </c:pt>
                <c:pt idx="92" formatCode="0.00">
                  <c:v>1660.4786044102268</c:v>
                </c:pt>
                <c:pt idx="93" formatCode="0.00">
                  <c:v>1691.5993493112862</c:v>
                </c:pt>
                <c:pt idx="94" formatCode="0.00">
                  <c:v>1859.3700068563116</c:v>
                </c:pt>
                <c:pt idx="95" formatCode="0.00">
                  <c:v>1847.8462513440952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51-B64D-B0D0-988597DACAC8}"/>
            </c:ext>
          </c:extLst>
        </c:ser>
        <c:ser>
          <c:idx val="2"/>
          <c:order val="2"/>
          <c:tx>
            <c:strRef>
              <c:f>'Exercise 2 WES (Optimised)'!$G$1</c:f>
              <c:strCache>
                <c:ptCount val="1"/>
                <c:pt idx="0">
                  <c:v>Out-of-sample Forecast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'Exercise 2 WES (Optimised)'!$A$2:$A$109</c:f>
              <c:numCache>
                <c:formatCode>mmm\-yyyy</c:formatCode>
                <c:ptCount val="108"/>
                <c:pt idx="0">
                  <c:v>42186</c:v>
                </c:pt>
                <c:pt idx="1">
                  <c:v>42217</c:v>
                </c:pt>
                <c:pt idx="2">
                  <c:v>42248</c:v>
                </c:pt>
                <c:pt idx="3">
                  <c:v>42278</c:v>
                </c:pt>
                <c:pt idx="4">
                  <c:v>42309</c:v>
                </c:pt>
                <c:pt idx="5">
                  <c:v>42339</c:v>
                </c:pt>
                <c:pt idx="6">
                  <c:v>42370</c:v>
                </c:pt>
                <c:pt idx="7">
                  <c:v>42401</c:v>
                </c:pt>
                <c:pt idx="8">
                  <c:v>42430</c:v>
                </c:pt>
                <c:pt idx="9">
                  <c:v>42461</c:v>
                </c:pt>
                <c:pt idx="10">
                  <c:v>42491</c:v>
                </c:pt>
                <c:pt idx="11">
                  <c:v>42522</c:v>
                </c:pt>
                <c:pt idx="12">
                  <c:v>42552</c:v>
                </c:pt>
                <c:pt idx="13">
                  <c:v>42583</c:v>
                </c:pt>
                <c:pt idx="14">
                  <c:v>42614</c:v>
                </c:pt>
                <c:pt idx="15">
                  <c:v>42644</c:v>
                </c:pt>
                <c:pt idx="16">
                  <c:v>42675</c:v>
                </c:pt>
                <c:pt idx="17">
                  <c:v>42705</c:v>
                </c:pt>
                <c:pt idx="18">
                  <c:v>42736</c:v>
                </c:pt>
                <c:pt idx="19">
                  <c:v>42767</c:v>
                </c:pt>
                <c:pt idx="20">
                  <c:v>42795</c:v>
                </c:pt>
                <c:pt idx="21">
                  <c:v>42826</c:v>
                </c:pt>
                <c:pt idx="22">
                  <c:v>42856</c:v>
                </c:pt>
                <c:pt idx="23">
                  <c:v>42887</c:v>
                </c:pt>
                <c:pt idx="24">
                  <c:v>42917</c:v>
                </c:pt>
                <c:pt idx="25">
                  <c:v>42948</c:v>
                </c:pt>
                <c:pt idx="26">
                  <c:v>42979</c:v>
                </c:pt>
                <c:pt idx="27">
                  <c:v>43009</c:v>
                </c:pt>
                <c:pt idx="28">
                  <c:v>43040</c:v>
                </c:pt>
                <c:pt idx="29">
                  <c:v>43070</c:v>
                </c:pt>
                <c:pt idx="30">
                  <c:v>43101</c:v>
                </c:pt>
                <c:pt idx="31">
                  <c:v>43132</c:v>
                </c:pt>
                <c:pt idx="32">
                  <c:v>43160</c:v>
                </c:pt>
                <c:pt idx="33">
                  <c:v>43191</c:v>
                </c:pt>
                <c:pt idx="34">
                  <c:v>43221</c:v>
                </c:pt>
                <c:pt idx="35">
                  <c:v>43252</c:v>
                </c:pt>
                <c:pt idx="36">
                  <c:v>43282</c:v>
                </c:pt>
                <c:pt idx="37">
                  <c:v>43313</c:v>
                </c:pt>
                <c:pt idx="38">
                  <c:v>43344</c:v>
                </c:pt>
                <c:pt idx="39">
                  <c:v>43374</c:v>
                </c:pt>
                <c:pt idx="40">
                  <c:v>43405</c:v>
                </c:pt>
                <c:pt idx="41">
                  <c:v>43435</c:v>
                </c:pt>
                <c:pt idx="42">
                  <c:v>43466</c:v>
                </c:pt>
                <c:pt idx="43">
                  <c:v>43497</c:v>
                </c:pt>
                <c:pt idx="44">
                  <c:v>43525</c:v>
                </c:pt>
                <c:pt idx="45">
                  <c:v>43556</c:v>
                </c:pt>
                <c:pt idx="46">
                  <c:v>43586</c:v>
                </c:pt>
                <c:pt idx="47">
                  <c:v>43617</c:v>
                </c:pt>
                <c:pt idx="48">
                  <c:v>43647</c:v>
                </c:pt>
                <c:pt idx="49">
                  <c:v>43678</c:v>
                </c:pt>
                <c:pt idx="50">
                  <c:v>43709</c:v>
                </c:pt>
                <c:pt idx="51">
                  <c:v>43739</c:v>
                </c:pt>
                <c:pt idx="52">
                  <c:v>43770</c:v>
                </c:pt>
                <c:pt idx="53">
                  <c:v>43800</c:v>
                </c:pt>
                <c:pt idx="54">
                  <c:v>43831</c:v>
                </c:pt>
                <c:pt idx="55">
                  <c:v>43862</c:v>
                </c:pt>
                <c:pt idx="56">
                  <c:v>43891</c:v>
                </c:pt>
                <c:pt idx="57">
                  <c:v>43922</c:v>
                </c:pt>
                <c:pt idx="58">
                  <c:v>43952</c:v>
                </c:pt>
                <c:pt idx="59">
                  <c:v>43983</c:v>
                </c:pt>
                <c:pt idx="60">
                  <c:v>44013</c:v>
                </c:pt>
                <c:pt idx="61">
                  <c:v>44044</c:v>
                </c:pt>
                <c:pt idx="62">
                  <c:v>44075</c:v>
                </c:pt>
                <c:pt idx="63">
                  <c:v>44105</c:v>
                </c:pt>
                <c:pt idx="64">
                  <c:v>44136</c:v>
                </c:pt>
                <c:pt idx="65">
                  <c:v>44166</c:v>
                </c:pt>
                <c:pt idx="66">
                  <c:v>44197</c:v>
                </c:pt>
                <c:pt idx="67">
                  <c:v>44228</c:v>
                </c:pt>
                <c:pt idx="68">
                  <c:v>44256</c:v>
                </c:pt>
                <c:pt idx="69">
                  <c:v>44287</c:v>
                </c:pt>
                <c:pt idx="70">
                  <c:v>44317</c:v>
                </c:pt>
                <c:pt idx="71">
                  <c:v>44348</c:v>
                </c:pt>
                <c:pt idx="72">
                  <c:v>44378</c:v>
                </c:pt>
                <c:pt idx="73">
                  <c:v>44409</c:v>
                </c:pt>
                <c:pt idx="74">
                  <c:v>44440</c:v>
                </c:pt>
                <c:pt idx="75">
                  <c:v>44470</c:v>
                </c:pt>
                <c:pt idx="76">
                  <c:v>44501</c:v>
                </c:pt>
                <c:pt idx="77">
                  <c:v>44531</c:v>
                </c:pt>
                <c:pt idx="78">
                  <c:v>44562</c:v>
                </c:pt>
                <c:pt idx="79">
                  <c:v>44593</c:v>
                </c:pt>
                <c:pt idx="80">
                  <c:v>44621</c:v>
                </c:pt>
                <c:pt idx="81">
                  <c:v>44652</c:v>
                </c:pt>
                <c:pt idx="82">
                  <c:v>44682</c:v>
                </c:pt>
                <c:pt idx="83">
                  <c:v>44713</c:v>
                </c:pt>
                <c:pt idx="84">
                  <c:v>44743</c:v>
                </c:pt>
                <c:pt idx="85">
                  <c:v>44774</c:v>
                </c:pt>
                <c:pt idx="86">
                  <c:v>44805</c:v>
                </c:pt>
                <c:pt idx="87">
                  <c:v>44835</c:v>
                </c:pt>
                <c:pt idx="88">
                  <c:v>44866</c:v>
                </c:pt>
                <c:pt idx="89">
                  <c:v>44896</c:v>
                </c:pt>
                <c:pt idx="90">
                  <c:v>44927</c:v>
                </c:pt>
                <c:pt idx="91">
                  <c:v>44958</c:v>
                </c:pt>
                <c:pt idx="92">
                  <c:v>44986</c:v>
                </c:pt>
                <c:pt idx="93">
                  <c:v>45017</c:v>
                </c:pt>
                <c:pt idx="94">
                  <c:v>45047</c:v>
                </c:pt>
                <c:pt idx="95">
                  <c:v>45078</c:v>
                </c:pt>
                <c:pt idx="96">
                  <c:v>45108</c:v>
                </c:pt>
                <c:pt idx="97">
                  <c:v>45139</c:v>
                </c:pt>
                <c:pt idx="98">
                  <c:v>45170</c:v>
                </c:pt>
                <c:pt idx="99">
                  <c:v>45200</c:v>
                </c:pt>
                <c:pt idx="100">
                  <c:v>45231</c:v>
                </c:pt>
                <c:pt idx="101">
                  <c:v>45261</c:v>
                </c:pt>
                <c:pt idx="102">
                  <c:v>45292</c:v>
                </c:pt>
                <c:pt idx="103">
                  <c:v>45323</c:v>
                </c:pt>
                <c:pt idx="104">
                  <c:v>45352</c:v>
                </c:pt>
                <c:pt idx="105">
                  <c:v>45383</c:v>
                </c:pt>
                <c:pt idx="106">
                  <c:v>45413</c:v>
                </c:pt>
                <c:pt idx="107">
                  <c:v>45444</c:v>
                </c:pt>
              </c:numCache>
            </c:numRef>
          </c:cat>
          <c:val>
            <c:numRef>
              <c:f>'Exercise 2 WES (Optimised)'!$G$2:$G$141</c:f>
              <c:numCache>
                <c:formatCode>General</c:formatCode>
                <c:ptCount val="140"/>
                <c:pt idx="95" formatCode="0.00;\-0.00;0.00;@">
                  <c:v>1847.8462513440952</c:v>
                </c:pt>
                <c:pt idx="96" formatCode="0.00">
                  <c:v>1680.0456843120473</c:v>
                </c:pt>
                <c:pt idx="97" formatCode="0.00">
                  <c:v>1469.4199306273624</c:v>
                </c:pt>
                <c:pt idx="98" formatCode="0.00">
                  <c:v>1594.9401492747411</c:v>
                </c:pt>
                <c:pt idx="99" formatCode="0.00">
                  <c:v>1812.1261929535074</c:v>
                </c:pt>
                <c:pt idx="100" formatCode="0.00">
                  <c:v>2263.0959289520988</c:v>
                </c:pt>
                <c:pt idx="101" formatCode="0.00">
                  <c:v>3141.7873756184576</c:v>
                </c:pt>
                <c:pt idx="102" formatCode="0.00">
                  <c:v>1663.8960253519085</c:v>
                </c:pt>
                <c:pt idx="103" formatCode="0.00">
                  <c:v>1349.1478085538806</c:v>
                </c:pt>
                <c:pt idx="104" formatCode="0.00">
                  <c:v>1653.9638646445374</c:v>
                </c:pt>
                <c:pt idx="105" formatCode="0.00">
                  <c:v>1709.9754505067508</c:v>
                </c:pt>
                <c:pt idx="106" formatCode="0.00">
                  <c:v>1760.1476326519328</c:v>
                </c:pt>
                <c:pt idx="107" formatCode="0.00">
                  <c:v>1749.0517759203713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51-B64D-B0D0-988597DAC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324646848"/>
        <c:axId val="1325069728"/>
      </c:lineChart>
      <c:dateAx>
        <c:axId val="1324646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period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069728"/>
        <c:crosses val="autoZero"/>
        <c:auto val="1"/>
        <c:lblOffset val="100"/>
        <c:baseTimeUnit val="months"/>
      </c:dateAx>
      <c:valAx>
        <c:axId val="1325069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900" b="0" i="0" u="none" strike="noStrike" cap="all" baseline="0">
                    <a:effectLst/>
                  </a:rPr>
                  <a:t>Total Turnover in $ millions </a:t>
                </a:r>
                <a:r>
                  <a:rPr lang="en-AU" sz="900" b="0" i="0" u="none" strike="noStrike" cap="all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64684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Residual vs. Time Scatterplot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'Exercise 2 WES (Optimised)'!$I$1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'Exercise 2 WES (Optimised)'!$I$2:$I$97</c:f>
              <c:numCache>
                <c:formatCode>General</c:formatCode>
                <c:ptCount val="96"/>
                <c:pt idx="12" formatCode="0.00_);\(0.00\)">
                  <c:v>-69.270601345433988</c:v>
                </c:pt>
                <c:pt idx="13" formatCode="0.00_);\(0.00\)">
                  <c:v>-0.38503930325214242</c:v>
                </c:pt>
                <c:pt idx="14" formatCode="0.00_);\(0.00\)">
                  <c:v>36.181579662764307</c:v>
                </c:pt>
                <c:pt idx="15" formatCode="0.00_);\(0.00\)">
                  <c:v>-39.193150706491906</c:v>
                </c:pt>
                <c:pt idx="16" formatCode="0.00_);\(0.00\)">
                  <c:v>13.400962011699676</c:v>
                </c:pt>
                <c:pt idx="17" formatCode="0.00_);\(0.00\)">
                  <c:v>31.438408091574274</c:v>
                </c:pt>
                <c:pt idx="18" formatCode="0.00_);\(0.00\)">
                  <c:v>-46.793833547274744</c:v>
                </c:pt>
                <c:pt idx="19" formatCode="0.00_);\(0.00\)">
                  <c:v>-8.5561644254764815</c:v>
                </c:pt>
                <c:pt idx="20" formatCode="0.00_);\(0.00\)">
                  <c:v>-3.4712068448116042</c:v>
                </c:pt>
                <c:pt idx="21" formatCode="0.00_);\(0.00\)">
                  <c:v>154.28355217081298</c:v>
                </c:pt>
                <c:pt idx="22" formatCode="0.00_);\(0.00\)">
                  <c:v>6.421609546693162</c:v>
                </c:pt>
                <c:pt idx="23" formatCode="0.00_);\(0.00\)">
                  <c:v>-35.115869001780993</c:v>
                </c:pt>
                <c:pt idx="24" formatCode="0.00_);\(0.00\)">
                  <c:v>-49.540233144776039</c:v>
                </c:pt>
                <c:pt idx="25" formatCode="0.00_);\(0.00\)">
                  <c:v>18.921721240538545</c:v>
                </c:pt>
                <c:pt idx="26" formatCode="0.00_);\(0.00\)">
                  <c:v>38.959181558573164</c:v>
                </c:pt>
                <c:pt idx="27" formatCode="0.00_);\(0.00\)">
                  <c:v>-8.2500977663189587</c:v>
                </c:pt>
                <c:pt idx="28" formatCode="0.00_);\(0.00\)">
                  <c:v>35.333093771946551</c:v>
                </c:pt>
                <c:pt idx="29" formatCode="0.00_);\(0.00\)">
                  <c:v>-59.338372350501231</c:v>
                </c:pt>
                <c:pt idx="30" formatCode="0.00_);\(0.00\)">
                  <c:v>-50.752811270010625</c:v>
                </c:pt>
                <c:pt idx="31" formatCode="0.00_);\(0.00\)">
                  <c:v>0.70497489026001858</c:v>
                </c:pt>
                <c:pt idx="32" formatCode="0.00_);\(0.00\)">
                  <c:v>36.904656086243222</c:v>
                </c:pt>
                <c:pt idx="33" formatCode="0.00_);\(0.00\)">
                  <c:v>-37.90562364161724</c:v>
                </c:pt>
                <c:pt idx="34" formatCode="0.00_);\(0.00\)">
                  <c:v>143.73537891573028</c:v>
                </c:pt>
                <c:pt idx="35" formatCode="0.00_);\(0.00\)">
                  <c:v>6.0801824922339165</c:v>
                </c:pt>
                <c:pt idx="36" formatCode="0.00_);\(0.00\)">
                  <c:v>-73.421155616621263</c:v>
                </c:pt>
                <c:pt idx="37" formatCode="0.00_);\(0.00\)">
                  <c:v>47.493226115662537</c:v>
                </c:pt>
                <c:pt idx="38" formatCode="0.00_);\(0.00\)">
                  <c:v>-3.7367001036004694</c:v>
                </c:pt>
                <c:pt idx="39" formatCode="0.00_);\(0.00\)">
                  <c:v>0.74132131927490263</c:v>
                </c:pt>
                <c:pt idx="40" formatCode="0.00_);\(0.00\)">
                  <c:v>34.283512367884214</c:v>
                </c:pt>
                <c:pt idx="41" formatCode="0.00_);\(0.00\)">
                  <c:v>-58.341602533990681</c:v>
                </c:pt>
                <c:pt idx="42" formatCode="0.00_);\(0.00\)">
                  <c:v>-43.007597991018429</c:v>
                </c:pt>
                <c:pt idx="43" formatCode="0.00_);\(0.00\)">
                  <c:v>10.104642202707282</c:v>
                </c:pt>
                <c:pt idx="44" formatCode="0.00_);\(0.00\)">
                  <c:v>-48.617077773286383</c:v>
                </c:pt>
                <c:pt idx="45" formatCode="0.00_);\(0.00\)">
                  <c:v>77.419351492382702</c:v>
                </c:pt>
                <c:pt idx="46" formatCode="0.00_);\(0.00\)">
                  <c:v>67.773165556109234</c:v>
                </c:pt>
                <c:pt idx="47" formatCode="0.00_);\(0.00\)">
                  <c:v>1.3607734659153721</c:v>
                </c:pt>
                <c:pt idx="48" formatCode="0.00_);\(0.00\)">
                  <c:v>-22.970170033782551</c:v>
                </c:pt>
                <c:pt idx="49" formatCode="0.00_);\(0.00\)">
                  <c:v>61.604002876512368</c:v>
                </c:pt>
                <c:pt idx="50" formatCode="0.00_);\(0.00\)">
                  <c:v>-35.156333249861063</c:v>
                </c:pt>
                <c:pt idx="51" formatCode="0.00_);\(0.00\)">
                  <c:v>18.895178402796773</c:v>
                </c:pt>
                <c:pt idx="52" formatCode="0.00_);\(0.00\)">
                  <c:v>92.95489565048365</c:v>
                </c:pt>
                <c:pt idx="53" formatCode="0.00_);\(0.00\)">
                  <c:v>-105.98110846814598</c:v>
                </c:pt>
                <c:pt idx="54" formatCode="0.00_);\(0.00\)">
                  <c:v>-45.834065492942273</c:v>
                </c:pt>
                <c:pt idx="55" formatCode="0.00_);\(0.00\)">
                  <c:v>54.9987548892409</c:v>
                </c:pt>
                <c:pt idx="56" formatCode="0.00_);\(0.00\)">
                  <c:v>-199.42813822609196</c:v>
                </c:pt>
                <c:pt idx="57" formatCode="0.00_);\(0.00\)">
                  <c:v>-212.05812656823332</c:v>
                </c:pt>
                <c:pt idx="58" formatCode="0.00_);\(0.00\)">
                  <c:v>419.22015407498702</c:v>
                </c:pt>
                <c:pt idx="59" formatCode="0.00_);\(0.00\)">
                  <c:v>-12.144803517483751</c:v>
                </c:pt>
                <c:pt idx="60" formatCode="0.00_);\(0.00\)">
                  <c:v>78.846518875221591</c:v>
                </c:pt>
                <c:pt idx="61" formatCode="0.00_);\(0.00\)">
                  <c:v>-145.49079201329323</c:v>
                </c:pt>
                <c:pt idx="62" formatCode="0.00_);\(0.00\)">
                  <c:v>19.468926134920139</c:v>
                </c:pt>
                <c:pt idx="63" formatCode="0.00_);\(0.00\)">
                  <c:v>74.353766429976986</c:v>
                </c:pt>
                <c:pt idx="64" formatCode="0.00_);\(0.00\)">
                  <c:v>326.09336079223976</c:v>
                </c:pt>
                <c:pt idx="65" formatCode="0.00_);\(0.00\)">
                  <c:v>-53.390164385600656</c:v>
                </c:pt>
                <c:pt idx="66" formatCode="0.00_);\(0.00\)">
                  <c:v>-37.484526243961682</c:v>
                </c:pt>
                <c:pt idx="67" formatCode="0.00_);\(0.00\)">
                  <c:v>-28.890696612364536</c:v>
                </c:pt>
                <c:pt idx="68" formatCode="0.00_);\(0.00\)">
                  <c:v>175.9120254138661</c:v>
                </c:pt>
                <c:pt idx="69" formatCode="0.00_);\(0.00\)">
                  <c:v>24.761326377143405</c:v>
                </c:pt>
                <c:pt idx="70" formatCode="0.00_);\(0.00\)">
                  <c:v>-207.9321970241192</c:v>
                </c:pt>
                <c:pt idx="71" formatCode="0.00_);\(0.00\)">
                  <c:v>-76.96663294927589</c:v>
                </c:pt>
                <c:pt idx="72" formatCode="0.00_);\(0.00\)">
                  <c:v>-192.54590133093484</c:v>
                </c:pt>
                <c:pt idx="73" formatCode="0.00_);\(0.00\)">
                  <c:v>-206.09781465315427</c:v>
                </c:pt>
                <c:pt idx="74" formatCode="0.00_);\(0.00\)">
                  <c:v>-67.021736347669275</c:v>
                </c:pt>
                <c:pt idx="75" formatCode="0.00_);\(0.00\)">
                  <c:v>193.33815351186786</c:v>
                </c:pt>
                <c:pt idx="76" formatCode="0.00_);\(0.00\)">
                  <c:v>447.2908929774685</c:v>
                </c:pt>
                <c:pt idx="77" formatCode="0.00_);\(0.00\)">
                  <c:v>-105.09824839980774</c:v>
                </c:pt>
                <c:pt idx="78" formatCode="0.00_);\(0.00\)">
                  <c:v>12.498892011344424</c:v>
                </c:pt>
                <c:pt idx="79" formatCode="0.00_);\(0.00\)">
                  <c:v>105.39530405526421</c:v>
                </c:pt>
                <c:pt idx="80" formatCode="0.00_);\(0.00\)">
                  <c:v>116.43501426613466</c:v>
                </c:pt>
                <c:pt idx="81" formatCode="0.00_);\(0.00\)">
                  <c:v>171.30557026804968</c:v>
                </c:pt>
                <c:pt idx="82" formatCode="0.00_);\(0.00\)">
                  <c:v>-33.815245913797526</c:v>
                </c:pt>
                <c:pt idx="83" formatCode="0.00_);\(0.00\)">
                  <c:v>60.109549184263187</c:v>
                </c:pt>
                <c:pt idx="84" formatCode="0.00_);\(0.00\)">
                  <c:v>116.13489397506874</c:v>
                </c:pt>
                <c:pt idx="85" formatCode="0.00_);\(0.00\)">
                  <c:v>133.50910302802799</c:v>
                </c:pt>
                <c:pt idx="86" formatCode="0.00_);\(0.00\)">
                  <c:v>17.445050598090575</c:v>
                </c:pt>
                <c:pt idx="87" formatCode="0.00_);\(0.00\)">
                  <c:v>-215.69440298081713</c:v>
                </c:pt>
                <c:pt idx="88" formatCode="0.00_);\(0.00\)">
                  <c:v>-57.126875990874396</c:v>
                </c:pt>
                <c:pt idx="89" formatCode="0.00_);\(0.00\)">
                  <c:v>-155.73635299472562</c:v>
                </c:pt>
                <c:pt idx="90" formatCode="0.00_);\(0.00\)">
                  <c:v>54.121710275233681</c:v>
                </c:pt>
                <c:pt idx="91" formatCode="0.00_);\(0.00\)">
                  <c:v>-6.2564754552970498</c:v>
                </c:pt>
                <c:pt idx="92" formatCode="0.00_);\(0.00\)">
                  <c:v>13.721395589773238</c:v>
                </c:pt>
                <c:pt idx="93" formatCode="0.00_);\(0.00\)">
                  <c:v>129.00065068871368</c:v>
                </c:pt>
                <c:pt idx="94" formatCode="0.00_);\(0.00\)">
                  <c:v>-25.870006856311647</c:v>
                </c:pt>
                <c:pt idx="95" formatCode="0.00_);\(0.00\)">
                  <c:v>-70.346251344095208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23-9D43-B420-E24050747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337296"/>
        <c:axId val="400053695"/>
      </c:scatterChart>
      <c:valAx>
        <c:axId val="166633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53695"/>
        <c:crosses val="autoZero"/>
        <c:crossBetween val="midCat"/>
      </c:valAx>
      <c:valAx>
        <c:axId val="40005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37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Actual data vs. Forecast</a:t>
            </a:r>
            <a:r>
              <a:rPr lang="en-GB" baseline="0"/>
              <a:t> </a:t>
            </a:r>
            <a:r>
              <a:rPr lang="en-AU"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for Total State Department Stores Turnover (Original-Adjusted Data) from July 2023 to June 2024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'Actual vs Forecast'!$B$1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'Actual vs Forecast'!$A$2:$A$13</c:f>
              <c:numCache>
                <c:formatCode>mmm\-yyyy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'Actual vs Forecast'!$B$2:$B$13</c:f>
              <c:numCache>
                <c:formatCode>0.0;\-0.0;0.0;@</c:formatCode>
                <c:ptCount val="12"/>
                <c:pt idx="0">
                  <c:v>1740.5</c:v>
                </c:pt>
                <c:pt idx="1">
                  <c:v>1629.2</c:v>
                </c:pt>
                <c:pt idx="2">
                  <c:v>1782.4</c:v>
                </c:pt>
                <c:pt idx="3">
                  <c:v>1832.3</c:v>
                </c:pt>
                <c:pt idx="4">
                  <c:v>2363.6999999999998</c:v>
                </c:pt>
                <c:pt idx="5">
                  <c:v>3189</c:v>
                </c:pt>
                <c:pt idx="6">
                  <c:v>1672.6</c:v>
                </c:pt>
                <c:pt idx="7">
                  <c:v>1435.1</c:v>
                </c:pt>
                <c:pt idx="8">
                  <c:v>1729.1</c:v>
                </c:pt>
                <c:pt idx="9">
                  <c:v>1728.6</c:v>
                </c:pt>
                <c:pt idx="10">
                  <c:v>1806.4</c:v>
                </c:pt>
                <c:pt idx="11">
                  <c:v>1859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2E-AB45-8F8B-DA0C6C23DCBF}"/>
            </c:ext>
          </c:extLst>
        </c:ser>
        <c:ser>
          <c:idx val="1"/>
          <c:order val="1"/>
          <c:tx>
            <c:strRef>
              <c:f>'Actual vs Forecast'!$C$1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'Actual vs Forecast'!$A$2:$A$13</c:f>
              <c:numCache>
                <c:formatCode>mmm\-yyyy</c:formatCode>
                <c:ptCount val="12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</c:numCache>
            </c:numRef>
          </c:cat>
          <c:val>
            <c:numRef>
              <c:f>'Actual vs Forecast'!$C$2:$C$13</c:f>
              <c:numCache>
                <c:formatCode>0.00;\-0.00;0.00;@</c:formatCode>
                <c:ptCount val="12"/>
                <c:pt idx="0">
                  <c:v>1680.0456843120473</c:v>
                </c:pt>
                <c:pt idx="1">
                  <c:v>1469.4199306273624</c:v>
                </c:pt>
                <c:pt idx="2">
                  <c:v>1594.9401492747411</c:v>
                </c:pt>
                <c:pt idx="3">
                  <c:v>1812.1261929535074</c:v>
                </c:pt>
                <c:pt idx="4">
                  <c:v>2263.0959289520988</c:v>
                </c:pt>
                <c:pt idx="5">
                  <c:v>3141.7873756184576</c:v>
                </c:pt>
                <c:pt idx="6">
                  <c:v>1663.8960253519085</c:v>
                </c:pt>
                <c:pt idx="7">
                  <c:v>1349.1478085538806</c:v>
                </c:pt>
                <c:pt idx="8">
                  <c:v>1653.9638646445374</c:v>
                </c:pt>
                <c:pt idx="9">
                  <c:v>1709.9754505067508</c:v>
                </c:pt>
                <c:pt idx="10">
                  <c:v>1760.1476326519328</c:v>
                </c:pt>
                <c:pt idx="11">
                  <c:v>1749.0517759203713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2E-AB45-8F8B-DA0C6C23D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409196736"/>
        <c:axId val="1463545808"/>
      </c:lineChart>
      <c:dateAx>
        <c:axId val="409196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545808"/>
        <c:crosses val="autoZero"/>
        <c:auto val="1"/>
        <c:lblOffset val="100"/>
        <c:baseTimeUnit val="months"/>
      </c:dateAx>
      <c:valAx>
        <c:axId val="1463545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Total Turnover in $ millions 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19673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.png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461850</xdr:colOff>
      <xdr:row>7</xdr:row>
      <xdr:rowOff>93064</xdr:rowOff>
    </xdr:from>
    <xdr:to>
      <xdr:col>11</xdr:col>
      <xdr:colOff>1106010</xdr:colOff>
      <xdr:row>13</xdr:row>
      <xdr:rowOff>118096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BAAF2-E3A1-8B4B-A84D-E86638358D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4741"/>
        <a:stretch/>
      </xdr:blipFill>
      <xdr:spPr>
        <a:xfrm>
          <a:off x="9872550" y="1312264"/>
          <a:ext cx="3996961" cy="863232"/>
        </a:xfrm>
        <a:prstGeom prst="rect">
          <a:avLst/>
        </a:prstGeom>
      </xdr:spPr>
    </xdr:pic>
    <xdr:clientData/>
  </xdr:twoCellAnchor>
  <xdr:twoCellAnchor>
    <xdr:from>
      <xdr:col>8</xdr:col>
      <xdr:colOff>294646</xdr:colOff>
      <xdr:row>46</xdr:row>
      <xdr:rowOff>134470</xdr:rowOff>
    </xdr:from>
    <xdr:to>
      <xdr:col>13</xdr:col>
      <xdr:colOff>612587</xdr:colOff>
      <xdr:row>72</xdr:row>
      <xdr:rowOff>59765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93F8DB-0E9E-784B-85A9-AB2E79C920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129117</xdr:colOff>
      <xdr:row>37</xdr:row>
      <xdr:rowOff>82551</xdr:rowOff>
    </xdr:from>
    <xdr:to>
      <xdr:col>19</xdr:col>
      <xdr:colOff>440267</xdr:colOff>
      <xdr:row>66</xdr:row>
      <xdr:rowOff>118534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AD38AE7-FCA2-4A59-F2FD-6F4863DBE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179300</xdr:colOff>
      <xdr:row>17</xdr:row>
      <xdr:rowOff>89654</xdr:rowOff>
    </xdr:from>
    <xdr:to>
      <xdr:col>13</xdr:col>
      <xdr:colOff>642469</xdr:colOff>
      <xdr:row>45</xdr:row>
      <xdr:rowOff>44824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A5F1D94-4DCF-19E6-A9EC-1EC810C17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461850</xdr:colOff>
      <xdr:row>7</xdr:row>
      <xdr:rowOff>93064</xdr:rowOff>
    </xdr:from>
    <xdr:to>
      <xdr:col>11</xdr:col>
      <xdr:colOff>1106011</xdr:colOff>
      <xdr:row>13</xdr:row>
      <xdr:rowOff>118096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2D8424-3614-9344-AE30-720646CC14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4741"/>
        <a:stretch/>
      </xdr:blipFill>
      <xdr:spPr>
        <a:xfrm>
          <a:off x="9874364" y="1305007"/>
          <a:ext cx="3996961" cy="852346"/>
        </a:xfrm>
        <a:prstGeom prst="rect">
          <a:avLst/>
        </a:prstGeom>
      </xdr:spPr>
    </xdr:pic>
    <xdr:clientData/>
  </xdr:twoCellAnchor>
  <xdr:twoCellAnchor>
    <xdr:from>
      <xdr:col>13</xdr:col>
      <xdr:colOff>764803</xdr:colOff>
      <xdr:row>37</xdr:row>
      <xdr:rowOff>132148</xdr:rowOff>
    </xdr:from>
    <xdr:to>
      <xdr:col>18</xdr:col>
      <xdr:colOff>444500</xdr:colOff>
      <xdr:row>63</xdr:row>
      <xdr:rowOff>31750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1A268E27-8648-ECAE-50E8-25855CEE8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428627</xdr:colOff>
      <xdr:row>15</xdr:row>
      <xdr:rowOff>87317</xdr:rowOff>
    </xdr:from>
    <xdr:to>
      <xdr:col>13</xdr:col>
      <xdr:colOff>158749</xdr:colOff>
      <xdr:row>41</xdr:row>
      <xdr:rowOff>111125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AF4E4A-577A-7333-2B45-D3711557D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539750</xdr:colOff>
      <xdr:row>43</xdr:row>
      <xdr:rowOff>7937</xdr:rowOff>
    </xdr:from>
    <xdr:to>
      <xdr:col>12</xdr:col>
      <xdr:colOff>1039812</xdr:colOff>
      <xdr:row>68</xdr:row>
      <xdr:rowOff>48212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E21EEA-F612-964C-AA16-4F2133378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465667</xdr:colOff>
      <xdr:row>4</xdr:row>
      <xdr:rowOff>101601</xdr:rowOff>
    </xdr:from>
    <xdr:to>
      <xdr:col>15</xdr:col>
      <xdr:colOff>262467</xdr:colOff>
      <xdr:row>14</xdr:row>
      <xdr:rowOff>3199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3172D7B-6C6F-3A4E-8893-DFCF8D315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9467" y="829734"/>
          <a:ext cx="4267200" cy="1340932"/>
        </a:xfrm>
        <a:prstGeom prst="rect">
          <a:avLst/>
        </a:prstGeom>
      </xdr:spPr>
    </xdr:pic>
    <xdr:clientData/>
  </xdr:twoCellAnchor>
  <xdr:twoCellAnchor editAs="oneCell">
    <xdr:from>
      <xdr:col>11</xdr:col>
      <xdr:colOff>469900</xdr:colOff>
      <xdr:row>14</xdr:row>
      <xdr:rowOff>127000</xdr:rowOff>
    </xdr:from>
    <xdr:to>
      <xdr:col>14</xdr:col>
      <xdr:colOff>874818</xdr:colOff>
      <xdr:row>20</xdr:row>
      <xdr:rowOff>102558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4B42756-0073-EF4E-9E3D-6FBFBD675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44400" y="2235200"/>
          <a:ext cx="3757718" cy="813758"/>
        </a:xfrm>
        <a:prstGeom prst="rect">
          <a:avLst/>
        </a:prstGeom>
      </xdr:spPr>
    </xdr:pic>
    <xdr:clientData/>
  </xdr:twoCellAnchor>
  <xdr:twoCellAnchor>
    <xdr:from>
      <xdr:col>16</xdr:col>
      <xdr:colOff>1098550</xdr:colOff>
      <xdr:row>37</xdr:row>
      <xdr:rowOff>12700</xdr:rowOff>
    </xdr:from>
    <xdr:to>
      <xdr:col>21</xdr:col>
      <xdr:colOff>546100</xdr:colOff>
      <xdr:row>59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DFCCA0D-DBDB-17E2-CB8A-BF34ACEBD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457586</xdr:colOff>
      <xdr:row>22</xdr:row>
      <xdr:rowOff>19393</xdr:rowOff>
    </xdr:from>
    <xdr:to>
      <xdr:col>16</xdr:col>
      <xdr:colOff>756182</xdr:colOff>
      <xdr:row>46</xdr:row>
      <xdr:rowOff>135725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AC56047-04FE-C12D-4DC9-60B4224EE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397481</xdr:colOff>
      <xdr:row>48</xdr:row>
      <xdr:rowOff>87251</xdr:rowOff>
    </xdr:from>
    <xdr:to>
      <xdr:col>16</xdr:col>
      <xdr:colOff>717405</xdr:colOff>
      <xdr:row>75</xdr:row>
      <xdr:rowOff>59664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4BD23DF-B1AB-4A40-9899-FD6FDE8A1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455507</xdr:colOff>
      <xdr:row>6</xdr:row>
      <xdr:rowOff>71120</xdr:rowOff>
    </xdr:from>
    <xdr:to>
      <xdr:col>16</xdr:col>
      <xdr:colOff>74011</xdr:colOff>
      <xdr:row>17</xdr:row>
      <xdr:rowOff>121919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89F558-2412-134C-9175-9BEAD2400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2707" y="1076960"/>
          <a:ext cx="5206504" cy="1615439"/>
        </a:xfrm>
        <a:prstGeom prst="rect">
          <a:avLst/>
        </a:prstGeom>
      </xdr:spPr>
    </xdr:pic>
    <xdr:clientData/>
  </xdr:twoCellAnchor>
  <xdr:twoCellAnchor editAs="oneCell">
    <xdr:from>
      <xdr:col>11</xdr:col>
      <xdr:colOff>449970</xdr:colOff>
      <xdr:row>19</xdr:row>
      <xdr:rowOff>106929</xdr:rowOff>
    </xdr:from>
    <xdr:to>
      <xdr:col>14</xdr:col>
      <xdr:colOff>853034</xdr:colOff>
      <xdr:row>25</xdr:row>
      <xdr:rowOff>78252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B9BB34A-2ED0-3648-8C2C-E81E74B75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37170" y="2961889"/>
          <a:ext cx="3755864" cy="824763"/>
        </a:xfrm>
        <a:prstGeom prst="rect">
          <a:avLst/>
        </a:prstGeom>
      </xdr:spPr>
    </xdr:pic>
    <xdr:clientData/>
  </xdr:twoCellAnchor>
  <xdr:twoCellAnchor>
    <xdr:from>
      <xdr:col>16</xdr:col>
      <xdr:colOff>1115060</xdr:colOff>
      <xdr:row>36</xdr:row>
      <xdr:rowOff>83820</xdr:rowOff>
    </xdr:from>
    <xdr:to>
      <xdr:col>21</xdr:col>
      <xdr:colOff>701040</xdr:colOff>
      <xdr:row>59</xdr:row>
      <xdr:rowOff>30480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1E59D5C-D5D9-AC01-A588-95AA27AC7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375920</xdr:colOff>
      <xdr:row>27</xdr:row>
      <xdr:rowOff>111760</xdr:rowOff>
    </xdr:from>
    <xdr:to>
      <xdr:col>16</xdr:col>
      <xdr:colOff>863600</xdr:colOff>
      <xdr:row>52</xdr:row>
      <xdr:rowOff>30480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C2BBC23-CC05-E64D-ABAB-9081E0675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365761</xdr:colOff>
      <xdr:row>53</xdr:row>
      <xdr:rowOff>10160</xdr:rowOff>
    </xdr:from>
    <xdr:to>
      <xdr:col>16</xdr:col>
      <xdr:colOff>924561</xdr:colOff>
      <xdr:row>80</xdr:row>
      <xdr:rowOff>121555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5904B1D-B13F-5F41-BB67-0E4F9A415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126935</xdr:colOff>
      <xdr:row>22</xdr:row>
      <xdr:rowOff>66553</xdr:rowOff>
    </xdr:from>
    <xdr:to>
      <xdr:col>16</xdr:col>
      <xdr:colOff>676368</xdr:colOff>
      <xdr:row>36</xdr:row>
      <xdr:rowOff>101524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AD9092-99A7-DC4A-BF34-704C7B11F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27135" y="4117853"/>
          <a:ext cx="3902233" cy="1990771"/>
        </a:xfrm>
        <a:prstGeom prst="rect">
          <a:avLst/>
        </a:prstGeom>
      </xdr:spPr>
    </xdr:pic>
    <xdr:clientData/>
  </xdr:twoCellAnchor>
  <xdr:twoCellAnchor editAs="oneCell">
    <xdr:from>
      <xdr:col>2</xdr:col>
      <xdr:colOff>498636</xdr:colOff>
      <xdr:row>100</xdr:row>
      <xdr:rowOff>74397</xdr:rowOff>
    </xdr:from>
    <xdr:to>
      <xdr:col>4</xdr:col>
      <xdr:colOff>819690</xdr:colOff>
      <xdr:row>103</xdr:row>
      <xdr:rowOff>84984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3DB275-DBFD-6743-BA82-A4798340F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13236" y="15022297"/>
          <a:ext cx="2556254" cy="429687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119</xdr:row>
      <xdr:rowOff>0</xdr:rowOff>
    </xdr:from>
    <xdr:to>
      <xdr:col>18</xdr:col>
      <xdr:colOff>883920</xdr:colOff>
      <xdr:row>145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96BBC5-93F4-B844-AD04-82EFFC5EC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15688</xdr:colOff>
      <xdr:row>37</xdr:row>
      <xdr:rowOff>81056</xdr:rowOff>
    </xdr:from>
    <xdr:to>
      <xdr:col>24</xdr:col>
      <xdr:colOff>280147</xdr:colOff>
      <xdr:row>64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B9DCEB6-026A-EDF1-52F7-62AA7B4F1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617682</xdr:colOff>
      <xdr:row>40</xdr:row>
      <xdr:rowOff>23097</xdr:rowOff>
    </xdr:from>
    <xdr:to>
      <xdr:col>18</xdr:col>
      <xdr:colOff>196273</xdr:colOff>
      <xdr:row>68</xdr:row>
      <xdr:rowOff>57728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2F1490B-B1F6-2898-ECCC-785BE5820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692727</xdr:colOff>
      <xdr:row>69</xdr:row>
      <xdr:rowOff>127000</xdr:rowOff>
    </xdr:from>
    <xdr:to>
      <xdr:col>16</xdr:col>
      <xdr:colOff>785091</xdr:colOff>
      <xdr:row>89</xdr:row>
      <xdr:rowOff>99291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00CF2A0-821A-1543-984A-15053285E6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126935</xdr:colOff>
      <xdr:row>22</xdr:row>
      <xdr:rowOff>66553</xdr:rowOff>
    </xdr:from>
    <xdr:to>
      <xdr:col>16</xdr:col>
      <xdr:colOff>676368</xdr:colOff>
      <xdr:row>36</xdr:row>
      <xdr:rowOff>101524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00DE9C7-7D92-9340-92B9-851AC1A6E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69960" y="5193590"/>
          <a:ext cx="3912581" cy="2010527"/>
        </a:xfrm>
        <a:prstGeom prst="rect">
          <a:avLst/>
        </a:prstGeom>
      </xdr:spPr>
    </xdr:pic>
    <xdr:clientData/>
  </xdr:twoCellAnchor>
  <xdr:twoCellAnchor editAs="oneCell">
    <xdr:from>
      <xdr:col>3</xdr:col>
      <xdr:colOff>398852</xdr:colOff>
      <xdr:row>103</xdr:row>
      <xdr:rowOff>19969</xdr:rowOff>
    </xdr:from>
    <xdr:to>
      <xdr:col>5</xdr:col>
      <xdr:colOff>719905</xdr:colOff>
      <xdr:row>106</xdr:row>
      <xdr:rowOff>30555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15F895E-7660-1F47-B6A4-B264D9ACC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27423" y="15078540"/>
          <a:ext cx="2552625" cy="418801"/>
        </a:xfrm>
        <a:prstGeom prst="rect">
          <a:avLst/>
        </a:prstGeom>
      </xdr:spPr>
    </xdr:pic>
    <xdr:clientData/>
  </xdr:twoCellAnchor>
  <xdr:twoCellAnchor>
    <xdr:from>
      <xdr:col>19</xdr:col>
      <xdr:colOff>404283</xdr:colOff>
      <xdr:row>36</xdr:row>
      <xdr:rowOff>86785</xdr:rowOff>
    </xdr:from>
    <xdr:to>
      <xdr:col>25</xdr:col>
      <xdr:colOff>647700</xdr:colOff>
      <xdr:row>67</xdr:row>
      <xdr:rowOff>101600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F2FEE6A-3D85-F444-4E85-FD3BB3DCB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642712</xdr:colOff>
      <xdr:row>39</xdr:row>
      <xdr:rowOff>112547</xdr:rowOff>
    </xdr:from>
    <xdr:to>
      <xdr:col>19</xdr:col>
      <xdr:colOff>50800</xdr:colOff>
      <xdr:row>70</xdr:row>
      <xdr:rowOff>121109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3250A2-8424-09AC-368F-5F5263AA7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673100</xdr:colOff>
      <xdr:row>72</xdr:row>
      <xdr:rowOff>63500</xdr:rowOff>
    </xdr:from>
    <xdr:to>
      <xdr:col>18</xdr:col>
      <xdr:colOff>439420</xdr:colOff>
      <xdr:row>98</xdr:row>
      <xdr:rowOff>93980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F9C3CF1-65C8-9041-93CF-7D5F33483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1</xdr:row>
      <xdr:rowOff>139700</xdr:rowOff>
    </xdr:from>
    <xdr:to>
      <xdr:col>12</xdr:col>
      <xdr:colOff>711200</xdr:colOff>
      <xdr:row>26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51AA13-A311-4776-7D28-5D682C441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zinzinayechan/Downloads/XRealStats-Mac.xlam" TargetMode="External"/><Relationship Id="rId1" Type="http://schemas.openxmlformats.org/officeDocument/2006/relationships/externalLinkPath" Target="/Users/zinzinayechan/Downloads/XRealStats-Mac.xla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zinzinayechan/Downloads/XRealStats.xlam" TargetMode="External"/><Relationship Id="rId1" Type="http://schemas.openxmlformats.org/officeDocument/2006/relationships/externalLinkPath" Target="/Users/zinzinayechan/Downloads/XRealStat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Wilcoxon Table"/>
      <sheetName val="Mann Table"/>
      <sheetName val="RSig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Kendall Tc"/>
      <sheetName val="Kendall u"/>
      <sheetName val="Page Table"/>
      <sheetName val="Prime"/>
      <sheetName val="MSSD"/>
      <sheetName val="Dict"/>
      <sheetName val="ADict"/>
      <sheetName val="L4 2"/>
      <sheetName val="L8 2"/>
      <sheetName val="L8 42"/>
      <sheetName val="L9 3"/>
      <sheetName val="L12 2"/>
      <sheetName val="L16 2"/>
      <sheetName val="L16 4"/>
      <sheetName val="L16 42a"/>
      <sheetName val="L18 23"/>
      <sheetName val="L18 63"/>
      <sheetName val="L25 5"/>
      <sheetName val="L27 3"/>
      <sheetName val="L32 2"/>
      <sheetName val="L32 24"/>
      <sheetName val="L36 23a"/>
      <sheetName val="L36 23b"/>
      <sheetName val="L50 25"/>
      <sheetName val="L54 23"/>
      <sheetName val="L64 4"/>
      <sheetName val="T2"/>
      <sheetName val="T3"/>
      <sheetName val="T4"/>
    </sheetNames>
    <definedNames>
      <definedName name="ACF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Kendall Tc"/>
      <sheetName val="Kendall u"/>
      <sheetName val="Page Table"/>
      <sheetName val="Prime"/>
      <sheetName val="MSSD"/>
      <sheetName val="Dict"/>
      <sheetName val="ADict"/>
      <sheetName val="L4 2"/>
      <sheetName val="L8 2"/>
      <sheetName val="L8 42"/>
      <sheetName val="L9 3"/>
      <sheetName val="L12 2"/>
      <sheetName val="L16 2"/>
      <sheetName val="L16 4"/>
      <sheetName val="L16 42a"/>
      <sheetName val="L18 23"/>
      <sheetName val="L18 63"/>
      <sheetName val="L25 5"/>
      <sheetName val="L27 3"/>
      <sheetName val="L32 2"/>
      <sheetName val="L32 24"/>
      <sheetName val="L36 23a"/>
      <sheetName val="L36 23b"/>
      <sheetName val="L50 25"/>
      <sheetName val="L54 23"/>
      <sheetName val="L64 4"/>
      <sheetName val="T2"/>
      <sheetName val="T3"/>
      <sheetName val="T4"/>
      <sheetName val="XRealStats"/>
    </sheetNames>
    <definedNames>
      <definedName name="ACF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17"/>
  <sheetViews>
    <sheetView zoomScaleNormal="10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F521" sqref="F521"/>
    </sheetView>
  </sheetViews>
  <sheetFormatPr baseColWidth="10" defaultColWidth="14.6640625" defaultRowHeight="11" x14ac:dyDescent="0.15"/>
  <cols>
    <col min="1" max="16384" width="14.6640625" style="1"/>
  </cols>
  <sheetData>
    <row r="1" spans="1:22" s="2" customFormat="1" ht="100" customHeight="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0</v>
      </c>
      <c r="J1" s="3" t="s">
        <v>1</v>
      </c>
      <c r="K1" s="3" t="s">
        <v>2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0</v>
      </c>
      <c r="Q1" s="3" t="s">
        <v>1</v>
      </c>
      <c r="R1" s="3" t="s">
        <v>2</v>
      </c>
      <c r="S1" s="3" t="s">
        <v>3</v>
      </c>
      <c r="T1" s="3" t="s">
        <v>4</v>
      </c>
      <c r="U1" s="3" t="s">
        <v>5</v>
      </c>
      <c r="V1" s="3" t="s">
        <v>6</v>
      </c>
    </row>
    <row r="2" spans="1:22" x14ac:dyDescent="0.15">
      <c r="A2" s="4" t="s">
        <v>7</v>
      </c>
      <c r="B2" s="7" t="s">
        <v>16</v>
      </c>
      <c r="C2" s="7" t="s">
        <v>16</v>
      </c>
      <c r="D2" s="7" t="s">
        <v>16</v>
      </c>
      <c r="E2" s="7" t="s">
        <v>16</v>
      </c>
      <c r="F2" s="7" t="s">
        <v>16</v>
      </c>
      <c r="G2" s="7" t="s">
        <v>16</v>
      </c>
      <c r="H2" s="7" t="s">
        <v>16</v>
      </c>
      <c r="I2" s="7" t="s">
        <v>16</v>
      </c>
      <c r="J2" s="7" t="s">
        <v>16</v>
      </c>
      <c r="K2" s="7" t="s">
        <v>16</v>
      </c>
      <c r="L2" s="7" t="s">
        <v>16</v>
      </c>
      <c r="M2" s="7" t="s">
        <v>16</v>
      </c>
      <c r="N2" s="7" t="s">
        <v>16</v>
      </c>
      <c r="O2" s="7" t="s">
        <v>16</v>
      </c>
      <c r="P2" s="7" t="s">
        <v>16</v>
      </c>
      <c r="Q2" s="7" t="s">
        <v>16</v>
      </c>
      <c r="R2" s="7" t="s">
        <v>16</v>
      </c>
      <c r="S2" s="7" t="s">
        <v>16</v>
      </c>
      <c r="T2" s="7" t="s">
        <v>16</v>
      </c>
      <c r="U2" s="7" t="s">
        <v>16</v>
      </c>
      <c r="V2" s="7" t="s">
        <v>16</v>
      </c>
    </row>
    <row r="3" spans="1:22" x14ac:dyDescent="0.15">
      <c r="A3" s="4" t="s">
        <v>8</v>
      </c>
      <c r="B3" s="7" t="s">
        <v>17</v>
      </c>
      <c r="C3" s="7" t="s">
        <v>17</v>
      </c>
      <c r="D3" s="7" t="s">
        <v>17</v>
      </c>
      <c r="E3" s="7" t="s">
        <v>17</v>
      </c>
      <c r="F3" s="7" t="s">
        <v>17</v>
      </c>
      <c r="G3" s="7" t="s">
        <v>17</v>
      </c>
      <c r="H3" s="7" t="s">
        <v>17</v>
      </c>
      <c r="I3" s="7" t="s">
        <v>27</v>
      </c>
      <c r="J3" s="7" t="s">
        <v>27</v>
      </c>
      <c r="K3" s="7" t="s">
        <v>27</v>
      </c>
      <c r="L3" s="7" t="s">
        <v>27</v>
      </c>
      <c r="M3" s="7" t="s">
        <v>27</v>
      </c>
      <c r="N3" s="7" t="s">
        <v>27</v>
      </c>
      <c r="O3" s="7" t="s">
        <v>27</v>
      </c>
      <c r="P3" s="7" t="s">
        <v>35</v>
      </c>
      <c r="Q3" s="7" t="s">
        <v>35</v>
      </c>
      <c r="R3" s="7" t="s">
        <v>35</v>
      </c>
      <c r="S3" s="7" t="s">
        <v>35</v>
      </c>
      <c r="T3" s="7" t="s">
        <v>35</v>
      </c>
      <c r="U3" s="7" t="s">
        <v>35</v>
      </c>
      <c r="V3" s="7" t="s">
        <v>35</v>
      </c>
    </row>
    <row r="4" spans="1:22" x14ac:dyDescent="0.15">
      <c r="A4" s="4" t="s">
        <v>9</v>
      </c>
      <c r="B4" s="7" t="s">
        <v>18</v>
      </c>
      <c r="C4" s="7" t="s">
        <v>18</v>
      </c>
      <c r="D4" s="7" t="s">
        <v>18</v>
      </c>
      <c r="E4" s="7" t="s">
        <v>18</v>
      </c>
      <c r="F4" s="7" t="s">
        <v>18</v>
      </c>
      <c r="G4" s="7" t="s">
        <v>18</v>
      </c>
      <c r="H4" s="7" t="s">
        <v>18</v>
      </c>
      <c r="I4" s="7" t="s">
        <v>18</v>
      </c>
      <c r="J4" s="7" t="s">
        <v>18</v>
      </c>
      <c r="K4" s="7" t="s">
        <v>18</v>
      </c>
      <c r="L4" s="7" t="s">
        <v>18</v>
      </c>
      <c r="M4" s="7" t="s">
        <v>18</v>
      </c>
      <c r="N4" s="7" t="s">
        <v>18</v>
      </c>
      <c r="O4" s="7" t="s">
        <v>18</v>
      </c>
      <c r="P4" s="7" t="s">
        <v>18</v>
      </c>
      <c r="Q4" s="7" t="s">
        <v>18</v>
      </c>
      <c r="R4" s="7" t="s">
        <v>18</v>
      </c>
      <c r="S4" s="7" t="s">
        <v>18</v>
      </c>
      <c r="T4" s="7" t="s">
        <v>18</v>
      </c>
      <c r="U4" s="7" t="s">
        <v>18</v>
      </c>
      <c r="V4" s="7" t="s">
        <v>18</v>
      </c>
    </row>
    <row r="5" spans="1:22" x14ac:dyDescent="0.15">
      <c r="A5" s="4" t="s">
        <v>10</v>
      </c>
      <c r="B5" s="7" t="s">
        <v>19</v>
      </c>
      <c r="C5" s="7" t="s">
        <v>19</v>
      </c>
      <c r="D5" s="7" t="s">
        <v>19</v>
      </c>
      <c r="E5" s="7" t="s">
        <v>19</v>
      </c>
      <c r="F5" s="7" t="s">
        <v>19</v>
      </c>
      <c r="G5" s="7" t="s">
        <v>19</v>
      </c>
      <c r="H5" s="7" t="s">
        <v>19</v>
      </c>
      <c r="I5" s="7" t="s">
        <v>19</v>
      </c>
      <c r="J5" s="7" t="s">
        <v>19</v>
      </c>
      <c r="K5" s="7" t="s">
        <v>19</v>
      </c>
      <c r="L5" s="7" t="s">
        <v>19</v>
      </c>
      <c r="M5" s="7" t="s">
        <v>19</v>
      </c>
      <c r="N5" s="7" t="s">
        <v>19</v>
      </c>
      <c r="O5" s="7" t="s">
        <v>19</v>
      </c>
      <c r="P5" s="7" t="s">
        <v>19</v>
      </c>
      <c r="Q5" s="7" t="s">
        <v>19</v>
      </c>
      <c r="R5" s="7" t="s">
        <v>19</v>
      </c>
      <c r="S5" s="7" t="s">
        <v>19</v>
      </c>
      <c r="T5" s="7" t="s">
        <v>19</v>
      </c>
      <c r="U5" s="7" t="s">
        <v>19</v>
      </c>
      <c r="V5" s="7" t="s">
        <v>19</v>
      </c>
    </row>
    <row r="6" spans="1:22" x14ac:dyDescent="0.15">
      <c r="A6" s="4" t="s">
        <v>11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</row>
    <row r="7" spans="1:22" s="6" customFormat="1" x14ac:dyDescent="0.15">
      <c r="A7" s="5" t="s">
        <v>12</v>
      </c>
      <c r="B7" s="6">
        <v>30042</v>
      </c>
      <c r="C7" s="6">
        <v>30042</v>
      </c>
      <c r="D7" s="6">
        <v>30042</v>
      </c>
      <c r="E7" s="6">
        <v>30042</v>
      </c>
      <c r="F7" s="6">
        <v>30042</v>
      </c>
      <c r="G7" s="6">
        <v>30042</v>
      </c>
      <c r="H7" s="6">
        <v>30042</v>
      </c>
      <c r="I7" s="6">
        <v>30042</v>
      </c>
      <c r="J7" s="6">
        <v>30042</v>
      </c>
      <c r="K7" s="6">
        <v>30042</v>
      </c>
      <c r="L7" s="6">
        <v>30042</v>
      </c>
      <c r="M7" s="6">
        <v>30042</v>
      </c>
      <c r="N7" s="6">
        <v>30042</v>
      </c>
      <c r="O7" s="6">
        <v>30042</v>
      </c>
      <c r="P7" s="6">
        <v>30042</v>
      </c>
      <c r="Q7" s="6">
        <v>30042</v>
      </c>
      <c r="R7" s="6">
        <v>30042</v>
      </c>
      <c r="S7" s="6">
        <v>30042</v>
      </c>
      <c r="T7" s="6">
        <v>30042</v>
      </c>
      <c r="U7" s="6">
        <v>30042</v>
      </c>
      <c r="V7" s="6">
        <v>30042</v>
      </c>
    </row>
    <row r="8" spans="1:22" s="6" customFormat="1" x14ac:dyDescent="0.15">
      <c r="A8" s="5" t="s">
        <v>13</v>
      </c>
      <c r="B8" s="6">
        <v>45444</v>
      </c>
      <c r="C8" s="6">
        <v>45444</v>
      </c>
      <c r="D8" s="6">
        <v>45444</v>
      </c>
      <c r="E8" s="6">
        <v>45444</v>
      </c>
      <c r="F8" s="6">
        <v>45444</v>
      </c>
      <c r="G8" s="6">
        <v>45444</v>
      </c>
      <c r="H8" s="6">
        <v>45444</v>
      </c>
      <c r="I8" s="6">
        <v>45444</v>
      </c>
      <c r="J8" s="6">
        <v>45444</v>
      </c>
      <c r="K8" s="6">
        <v>45444</v>
      </c>
      <c r="L8" s="6">
        <v>45444</v>
      </c>
      <c r="M8" s="6">
        <v>45444</v>
      </c>
      <c r="N8" s="6">
        <v>45444</v>
      </c>
      <c r="O8" s="6">
        <v>45444</v>
      </c>
      <c r="P8" s="6">
        <v>45444</v>
      </c>
      <c r="Q8" s="6">
        <v>45444</v>
      </c>
      <c r="R8" s="6">
        <v>45444</v>
      </c>
      <c r="S8" s="6">
        <v>45444</v>
      </c>
      <c r="T8" s="6">
        <v>45444</v>
      </c>
      <c r="U8" s="6">
        <v>45444</v>
      </c>
      <c r="V8" s="6">
        <v>45444</v>
      </c>
    </row>
    <row r="9" spans="1:22" x14ac:dyDescent="0.15">
      <c r="A9" s="4" t="s">
        <v>14</v>
      </c>
      <c r="B9" s="1">
        <v>507</v>
      </c>
      <c r="C9" s="1">
        <v>507</v>
      </c>
      <c r="D9" s="1">
        <v>507</v>
      </c>
      <c r="E9" s="1">
        <v>507</v>
      </c>
      <c r="F9" s="1">
        <v>507</v>
      </c>
      <c r="G9" s="1">
        <v>507</v>
      </c>
      <c r="H9" s="1">
        <v>507</v>
      </c>
      <c r="I9" s="1">
        <v>507</v>
      </c>
      <c r="J9" s="1">
        <v>507</v>
      </c>
      <c r="K9" s="1">
        <v>507</v>
      </c>
      <c r="L9" s="1">
        <v>507</v>
      </c>
      <c r="M9" s="1">
        <v>507</v>
      </c>
      <c r="N9" s="1">
        <v>507</v>
      </c>
      <c r="O9" s="1">
        <v>507</v>
      </c>
      <c r="P9" s="1">
        <v>507</v>
      </c>
      <c r="Q9" s="1">
        <v>507</v>
      </c>
      <c r="R9" s="1">
        <v>507</v>
      </c>
      <c r="S9" s="1">
        <v>507</v>
      </c>
      <c r="T9" s="1">
        <v>507</v>
      </c>
      <c r="U9" s="1">
        <v>507</v>
      </c>
      <c r="V9" s="1">
        <v>507</v>
      </c>
    </row>
    <row r="10" spans="1:22" x14ac:dyDescent="0.15">
      <c r="A10" s="4" t="s">
        <v>15</v>
      </c>
      <c r="B10" s="7" t="s">
        <v>20</v>
      </c>
      <c r="C10" s="7" t="s">
        <v>21</v>
      </c>
      <c r="D10" s="7" t="s">
        <v>22</v>
      </c>
      <c r="E10" s="7" t="s">
        <v>23</v>
      </c>
      <c r="F10" s="7" t="s">
        <v>24</v>
      </c>
      <c r="G10" s="7" t="s">
        <v>25</v>
      </c>
      <c r="H10" s="7" t="s">
        <v>26</v>
      </c>
      <c r="I10" s="7" t="s">
        <v>28</v>
      </c>
      <c r="J10" s="7" t="s">
        <v>29</v>
      </c>
      <c r="K10" s="7" t="s">
        <v>30</v>
      </c>
      <c r="L10" s="7" t="s">
        <v>31</v>
      </c>
      <c r="M10" s="7" t="s">
        <v>32</v>
      </c>
      <c r="N10" s="7" t="s">
        <v>33</v>
      </c>
      <c r="O10" s="7" t="s">
        <v>34</v>
      </c>
      <c r="P10" s="7" t="s">
        <v>36</v>
      </c>
      <c r="Q10" s="7" t="s">
        <v>37</v>
      </c>
      <c r="R10" s="7" t="s">
        <v>38</v>
      </c>
      <c r="S10" s="7" t="s">
        <v>39</v>
      </c>
      <c r="T10" s="7" t="s">
        <v>40</v>
      </c>
      <c r="U10" s="7" t="s">
        <v>41</v>
      </c>
      <c r="V10" s="7" t="s">
        <v>42</v>
      </c>
    </row>
    <row r="11" spans="1:22" x14ac:dyDescent="0.15">
      <c r="A11" s="9">
        <v>30042</v>
      </c>
      <c r="B11" s="8">
        <v>1162.5999999999999</v>
      </c>
      <c r="C11" s="8">
        <v>592.29999999999995</v>
      </c>
      <c r="D11" s="8">
        <v>359.9</v>
      </c>
      <c r="E11" s="8">
        <v>460.1</v>
      </c>
      <c r="F11" s="8">
        <v>479.1</v>
      </c>
      <c r="G11" s="8">
        <v>342.4</v>
      </c>
      <c r="H11" s="8">
        <v>3396.4</v>
      </c>
      <c r="I11" s="8">
        <v>1167.2</v>
      </c>
      <c r="J11" s="8">
        <v>653.4</v>
      </c>
      <c r="K11" s="8">
        <v>360.7</v>
      </c>
      <c r="L11" s="8">
        <v>479.7</v>
      </c>
      <c r="M11" s="8">
        <v>507.9</v>
      </c>
      <c r="N11" s="8">
        <v>349.8</v>
      </c>
      <c r="O11" s="8">
        <v>3518.7</v>
      </c>
      <c r="P11" s="8">
        <v>1173.2</v>
      </c>
      <c r="Q11" s="8">
        <v>652.9</v>
      </c>
      <c r="R11" s="8">
        <v>362.7</v>
      </c>
      <c r="S11" s="8">
        <v>482.4</v>
      </c>
      <c r="T11" s="8">
        <v>505.1</v>
      </c>
      <c r="U11" s="8">
        <v>347.6</v>
      </c>
      <c r="V11" s="8">
        <v>3523.4</v>
      </c>
    </row>
    <row r="12" spans="1:22" x14ac:dyDescent="0.15">
      <c r="A12" s="9">
        <v>30072</v>
      </c>
      <c r="B12" s="8">
        <v>1150.9000000000001</v>
      </c>
      <c r="C12" s="8">
        <v>629.6</v>
      </c>
      <c r="D12" s="8">
        <v>386.6</v>
      </c>
      <c r="E12" s="8">
        <v>502.6</v>
      </c>
      <c r="F12" s="8">
        <v>486.1</v>
      </c>
      <c r="G12" s="8">
        <v>342.1</v>
      </c>
      <c r="H12" s="8">
        <v>3497.9</v>
      </c>
      <c r="I12" s="8">
        <v>1178.5999999999999</v>
      </c>
      <c r="J12" s="8">
        <v>648.6</v>
      </c>
      <c r="K12" s="8">
        <v>362.6</v>
      </c>
      <c r="L12" s="8">
        <v>489.2</v>
      </c>
      <c r="M12" s="8">
        <v>502.3</v>
      </c>
      <c r="N12" s="8">
        <v>346.3</v>
      </c>
      <c r="O12" s="8">
        <v>3527.6</v>
      </c>
      <c r="P12" s="8">
        <v>1181.7</v>
      </c>
      <c r="Q12" s="8">
        <v>654.1</v>
      </c>
      <c r="R12" s="8">
        <v>362</v>
      </c>
      <c r="S12" s="8">
        <v>484.2</v>
      </c>
      <c r="T12" s="8">
        <v>504.9</v>
      </c>
      <c r="U12" s="8">
        <v>346.3</v>
      </c>
      <c r="V12" s="8">
        <v>3533.6</v>
      </c>
    </row>
    <row r="13" spans="1:22" x14ac:dyDescent="0.15">
      <c r="A13" s="9">
        <v>30103</v>
      </c>
      <c r="B13" s="8">
        <v>1160</v>
      </c>
      <c r="C13" s="8">
        <v>607.4</v>
      </c>
      <c r="D13" s="8">
        <v>350.5</v>
      </c>
      <c r="E13" s="8">
        <v>443.8</v>
      </c>
      <c r="F13" s="8">
        <v>467.5</v>
      </c>
      <c r="G13" s="8">
        <v>328.7</v>
      </c>
      <c r="H13" s="8">
        <v>3357.8</v>
      </c>
      <c r="I13" s="8">
        <v>1203.7</v>
      </c>
      <c r="J13" s="8">
        <v>655.8</v>
      </c>
      <c r="K13" s="8">
        <v>365.1</v>
      </c>
      <c r="L13" s="8">
        <v>479.2</v>
      </c>
      <c r="M13" s="8">
        <v>506.9</v>
      </c>
      <c r="N13" s="8">
        <v>350.8</v>
      </c>
      <c r="O13" s="8">
        <v>3561.5</v>
      </c>
      <c r="P13" s="8">
        <v>1192.7</v>
      </c>
      <c r="Q13" s="8">
        <v>655.7</v>
      </c>
      <c r="R13" s="8">
        <v>361.9</v>
      </c>
      <c r="S13" s="8">
        <v>486.4</v>
      </c>
      <c r="T13" s="8">
        <v>504.7</v>
      </c>
      <c r="U13" s="8">
        <v>345.9</v>
      </c>
      <c r="V13" s="8">
        <v>3547</v>
      </c>
    </row>
    <row r="14" spans="1:22" x14ac:dyDescent="0.15">
      <c r="A14" s="9">
        <v>30133</v>
      </c>
      <c r="B14" s="8">
        <v>1206.4000000000001</v>
      </c>
      <c r="C14" s="8">
        <v>632.4</v>
      </c>
      <c r="D14" s="8">
        <v>359.3</v>
      </c>
      <c r="E14" s="8">
        <v>459.1</v>
      </c>
      <c r="F14" s="8">
        <v>491.1</v>
      </c>
      <c r="G14" s="8">
        <v>338.5</v>
      </c>
      <c r="H14" s="8">
        <v>3486.8</v>
      </c>
      <c r="I14" s="8">
        <v>1209.8</v>
      </c>
      <c r="J14" s="8">
        <v>660.5</v>
      </c>
      <c r="K14" s="8">
        <v>362</v>
      </c>
      <c r="L14" s="8">
        <v>476.5</v>
      </c>
      <c r="M14" s="8">
        <v>503.6</v>
      </c>
      <c r="N14" s="8">
        <v>341.5</v>
      </c>
      <c r="O14" s="8">
        <v>3553.9</v>
      </c>
      <c r="P14" s="8">
        <v>1203.2</v>
      </c>
      <c r="Q14" s="8">
        <v>656.6</v>
      </c>
      <c r="R14" s="8">
        <v>361.6</v>
      </c>
      <c r="S14" s="8">
        <v>488.6</v>
      </c>
      <c r="T14" s="8">
        <v>505.3</v>
      </c>
      <c r="U14" s="8">
        <v>345.4</v>
      </c>
      <c r="V14" s="8">
        <v>3560.6</v>
      </c>
    </row>
    <row r="15" spans="1:22" x14ac:dyDescent="0.15">
      <c r="A15" s="9">
        <v>30164</v>
      </c>
      <c r="B15" s="8">
        <v>1152.5</v>
      </c>
      <c r="C15" s="8">
        <v>622.6</v>
      </c>
      <c r="D15" s="8">
        <v>325.2</v>
      </c>
      <c r="E15" s="8">
        <v>438.4</v>
      </c>
      <c r="F15" s="8">
        <v>485.7</v>
      </c>
      <c r="G15" s="8">
        <v>331.5</v>
      </c>
      <c r="H15" s="8">
        <v>3355.9</v>
      </c>
      <c r="I15" s="8">
        <v>1198.9000000000001</v>
      </c>
      <c r="J15" s="8">
        <v>659.7</v>
      </c>
      <c r="K15" s="8">
        <v>359.3</v>
      </c>
      <c r="L15" s="8">
        <v>515.20000000000005</v>
      </c>
      <c r="M15" s="8">
        <v>505.9</v>
      </c>
      <c r="N15" s="8">
        <v>342.7</v>
      </c>
      <c r="O15" s="8">
        <v>3581.8</v>
      </c>
      <c r="P15" s="8">
        <v>1213.5</v>
      </c>
      <c r="Q15" s="8">
        <v>656.5</v>
      </c>
      <c r="R15" s="8">
        <v>361.9</v>
      </c>
      <c r="S15" s="8">
        <v>489.8</v>
      </c>
      <c r="T15" s="8">
        <v>505.6</v>
      </c>
      <c r="U15" s="8">
        <v>346.4</v>
      </c>
      <c r="V15" s="8">
        <v>3573.6</v>
      </c>
    </row>
    <row r="16" spans="1:22" x14ac:dyDescent="0.15">
      <c r="A16" s="9">
        <v>30195</v>
      </c>
      <c r="B16" s="8">
        <v>1189.0999999999999</v>
      </c>
      <c r="C16" s="8">
        <v>622</v>
      </c>
      <c r="D16" s="8">
        <v>346.3</v>
      </c>
      <c r="E16" s="8">
        <v>465.1</v>
      </c>
      <c r="F16" s="8">
        <v>489.9</v>
      </c>
      <c r="G16" s="8">
        <v>341.9</v>
      </c>
      <c r="H16" s="8">
        <v>3454.3</v>
      </c>
      <c r="I16" s="8">
        <v>1217.9000000000001</v>
      </c>
      <c r="J16" s="8">
        <v>661.5</v>
      </c>
      <c r="K16" s="8">
        <v>363.8</v>
      </c>
      <c r="L16" s="8">
        <v>485.1</v>
      </c>
      <c r="M16" s="8">
        <v>506.4</v>
      </c>
      <c r="N16" s="8">
        <v>346.5</v>
      </c>
      <c r="O16" s="8">
        <v>3581.2</v>
      </c>
      <c r="P16" s="8">
        <v>1223.8</v>
      </c>
      <c r="Q16" s="8">
        <v>655.7</v>
      </c>
      <c r="R16" s="8">
        <v>363.4</v>
      </c>
      <c r="S16" s="8">
        <v>488.7</v>
      </c>
      <c r="T16" s="8">
        <v>506.2</v>
      </c>
      <c r="U16" s="8">
        <v>348.6</v>
      </c>
      <c r="V16" s="8">
        <v>3586.7</v>
      </c>
    </row>
    <row r="17" spans="1:22" x14ac:dyDescent="0.15">
      <c r="A17" s="9">
        <v>30225</v>
      </c>
      <c r="B17" s="8">
        <v>1247.4000000000001</v>
      </c>
      <c r="C17" s="8">
        <v>637.79999999999995</v>
      </c>
      <c r="D17" s="8">
        <v>354.2</v>
      </c>
      <c r="E17" s="8">
        <v>452.7</v>
      </c>
      <c r="F17" s="8">
        <v>500.9</v>
      </c>
      <c r="G17" s="8">
        <v>358.4</v>
      </c>
      <c r="H17" s="8">
        <v>3551.5</v>
      </c>
      <c r="I17" s="8">
        <v>1242.3</v>
      </c>
      <c r="J17" s="8">
        <v>649.6</v>
      </c>
      <c r="K17" s="8">
        <v>359</v>
      </c>
      <c r="L17" s="8">
        <v>482.6</v>
      </c>
      <c r="M17" s="8">
        <v>508</v>
      </c>
      <c r="N17" s="8">
        <v>354.2</v>
      </c>
      <c r="O17" s="8">
        <v>3595.6</v>
      </c>
      <c r="P17" s="8">
        <v>1232.9000000000001</v>
      </c>
      <c r="Q17" s="8">
        <v>658.2</v>
      </c>
      <c r="R17" s="8">
        <v>366.2</v>
      </c>
      <c r="S17" s="8">
        <v>485.6</v>
      </c>
      <c r="T17" s="8">
        <v>508.6</v>
      </c>
      <c r="U17" s="8">
        <v>353.5</v>
      </c>
      <c r="V17" s="8">
        <v>3605.8</v>
      </c>
    </row>
    <row r="18" spans="1:22" x14ac:dyDescent="0.15">
      <c r="A18" s="9">
        <v>30256</v>
      </c>
      <c r="B18" s="8">
        <v>1280.7</v>
      </c>
      <c r="C18" s="8">
        <v>717.2</v>
      </c>
      <c r="D18" s="8">
        <v>403.9</v>
      </c>
      <c r="E18" s="8">
        <v>522.9</v>
      </c>
      <c r="F18" s="8">
        <v>531.1</v>
      </c>
      <c r="G18" s="8">
        <v>374.7</v>
      </c>
      <c r="H18" s="8">
        <v>3830.5</v>
      </c>
      <c r="I18" s="8">
        <v>1260.5999999999999</v>
      </c>
      <c r="J18" s="8">
        <v>658.1</v>
      </c>
      <c r="K18" s="8">
        <v>375.1</v>
      </c>
      <c r="L18" s="8">
        <v>488</v>
      </c>
      <c r="M18" s="8">
        <v>509.6</v>
      </c>
      <c r="N18" s="8">
        <v>360.2</v>
      </c>
      <c r="O18" s="8">
        <v>3651.7</v>
      </c>
      <c r="P18" s="8">
        <v>1244.9000000000001</v>
      </c>
      <c r="Q18" s="8">
        <v>667.3</v>
      </c>
      <c r="R18" s="8">
        <v>370.7</v>
      </c>
      <c r="S18" s="8">
        <v>483.4</v>
      </c>
      <c r="T18" s="8">
        <v>513.29999999999995</v>
      </c>
      <c r="U18" s="8">
        <v>358.7</v>
      </c>
      <c r="V18" s="8">
        <v>3637.7</v>
      </c>
    </row>
    <row r="19" spans="1:22" x14ac:dyDescent="0.15">
      <c r="A19" s="9">
        <v>30286</v>
      </c>
      <c r="B19" s="8">
        <v>1483.7</v>
      </c>
      <c r="C19" s="8">
        <v>1077</v>
      </c>
      <c r="D19" s="8">
        <v>571.4</v>
      </c>
      <c r="E19" s="8">
        <v>889.3</v>
      </c>
      <c r="F19" s="8">
        <v>725.2</v>
      </c>
      <c r="G19" s="8">
        <v>433.1</v>
      </c>
      <c r="H19" s="8">
        <v>5179.7</v>
      </c>
      <c r="I19" s="8">
        <v>1245.5999999999999</v>
      </c>
      <c r="J19" s="8">
        <v>670.5</v>
      </c>
      <c r="K19" s="8">
        <v>375.9</v>
      </c>
      <c r="L19" s="8">
        <v>478.6</v>
      </c>
      <c r="M19" s="8">
        <v>518</v>
      </c>
      <c r="N19" s="8">
        <v>361.8</v>
      </c>
      <c r="O19" s="8">
        <v>3650.4</v>
      </c>
      <c r="P19" s="8">
        <v>1258.3</v>
      </c>
      <c r="Q19" s="8">
        <v>681</v>
      </c>
      <c r="R19" s="8">
        <v>376.1</v>
      </c>
      <c r="S19" s="8">
        <v>484.3</v>
      </c>
      <c r="T19" s="8">
        <v>519.29999999999995</v>
      </c>
      <c r="U19" s="8">
        <v>364.3</v>
      </c>
      <c r="V19" s="8">
        <v>3681</v>
      </c>
    </row>
    <row r="20" spans="1:22" x14ac:dyDescent="0.15">
      <c r="A20" s="9">
        <v>30317</v>
      </c>
      <c r="B20" s="8">
        <v>1202.8</v>
      </c>
      <c r="C20" s="8">
        <v>615.9</v>
      </c>
      <c r="D20" s="8">
        <v>326.5</v>
      </c>
      <c r="E20" s="8">
        <v>379.2</v>
      </c>
      <c r="F20" s="8">
        <v>491.4</v>
      </c>
      <c r="G20" s="8">
        <v>368.6</v>
      </c>
      <c r="H20" s="8">
        <v>3384.5</v>
      </c>
      <c r="I20" s="8">
        <v>1240.5999999999999</v>
      </c>
      <c r="J20" s="8">
        <v>702.8</v>
      </c>
      <c r="K20" s="8">
        <v>386.1</v>
      </c>
      <c r="L20" s="8">
        <v>471.2</v>
      </c>
      <c r="M20" s="8">
        <v>525.6</v>
      </c>
      <c r="N20" s="8">
        <v>369.3</v>
      </c>
      <c r="O20" s="8">
        <v>3695.6</v>
      </c>
      <c r="P20" s="8">
        <v>1268.8</v>
      </c>
      <c r="Q20" s="8">
        <v>694.9</v>
      </c>
      <c r="R20" s="8">
        <v>381.9</v>
      </c>
      <c r="S20" s="8">
        <v>488.8</v>
      </c>
      <c r="T20" s="8">
        <v>525.29999999999995</v>
      </c>
      <c r="U20" s="8">
        <v>367.7</v>
      </c>
      <c r="V20" s="8">
        <v>3729.5</v>
      </c>
    </row>
    <row r="21" spans="1:22" x14ac:dyDescent="0.15">
      <c r="A21" s="9">
        <v>30348</v>
      </c>
      <c r="B21" s="8">
        <v>1224.2</v>
      </c>
      <c r="C21" s="8">
        <v>621.70000000000005</v>
      </c>
      <c r="D21" s="8">
        <v>298.7</v>
      </c>
      <c r="E21" s="8">
        <v>378</v>
      </c>
      <c r="F21" s="8">
        <v>499.1</v>
      </c>
      <c r="G21" s="8">
        <v>348.1</v>
      </c>
      <c r="H21" s="8">
        <v>3369.8</v>
      </c>
      <c r="I21" s="8">
        <v>1312.2</v>
      </c>
      <c r="J21" s="8">
        <v>712.4</v>
      </c>
      <c r="K21" s="8">
        <v>379.2</v>
      </c>
      <c r="L21" s="8">
        <v>502.7</v>
      </c>
      <c r="M21" s="8">
        <v>536.5</v>
      </c>
      <c r="N21" s="8">
        <v>377.9</v>
      </c>
      <c r="O21" s="8">
        <v>3821</v>
      </c>
      <c r="P21" s="8">
        <v>1281.5</v>
      </c>
      <c r="Q21" s="8">
        <v>707.1</v>
      </c>
      <c r="R21" s="8">
        <v>385.9</v>
      </c>
      <c r="S21" s="8">
        <v>495.8</v>
      </c>
      <c r="T21" s="8">
        <v>530.1</v>
      </c>
      <c r="U21" s="8">
        <v>368.6</v>
      </c>
      <c r="V21" s="8">
        <v>3773.4</v>
      </c>
    </row>
    <row r="22" spans="1:22" x14ac:dyDescent="0.15">
      <c r="A22" s="9">
        <v>30376</v>
      </c>
      <c r="B22" s="8">
        <v>1332.4</v>
      </c>
      <c r="C22" s="8">
        <v>719.1</v>
      </c>
      <c r="D22" s="8">
        <v>377.2</v>
      </c>
      <c r="E22" s="8">
        <v>472.1</v>
      </c>
      <c r="F22" s="8">
        <v>538.70000000000005</v>
      </c>
      <c r="G22" s="8">
        <v>365.8</v>
      </c>
      <c r="H22" s="8">
        <v>3805.3</v>
      </c>
      <c r="I22" s="8">
        <v>1293.4000000000001</v>
      </c>
      <c r="J22" s="8">
        <v>728.5</v>
      </c>
      <c r="K22" s="8">
        <v>395.2</v>
      </c>
      <c r="L22" s="8">
        <v>502.8</v>
      </c>
      <c r="M22" s="8">
        <v>536.79999999999995</v>
      </c>
      <c r="N22" s="8">
        <v>366.1</v>
      </c>
      <c r="O22" s="8">
        <v>3822.8</v>
      </c>
      <c r="P22" s="8">
        <v>1289.2</v>
      </c>
      <c r="Q22" s="8">
        <v>715.7</v>
      </c>
      <c r="R22" s="8">
        <v>389.7</v>
      </c>
      <c r="S22" s="8">
        <v>503</v>
      </c>
      <c r="T22" s="8">
        <v>534.4</v>
      </c>
      <c r="U22" s="8">
        <v>369</v>
      </c>
      <c r="V22" s="8">
        <v>3807.6</v>
      </c>
    </row>
    <row r="23" spans="1:22" x14ac:dyDescent="0.15">
      <c r="A23" s="9">
        <v>30407</v>
      </c>
      <c r="B23" s="8">
        <v>1270.9000000000001</v>
      </c>
      <c r="C23" s="8">
        <v>633.4</v>
      </c>
      <c r="D23" s="8">
        <v>412.5</v>
      </c>
      <c r="E23" s="8">
        <v>503.4</v>
      </c>
      <c r="F23" s="8">
        <v>493.8</v>
      </c>
      <c r="G23" s="8">
        <v>351.1</v>
      </c>
      <c r="H23" s="8">
        <v>3665.1</v>
      </c>
      <c r="I23" s="8">
        <v>1301.2</v>
      </c>
      <c r="J23" s="8">
        <v>722.3</v>
      </c>
      <c r="K23" s="8">
        <v>423.9</v>
      </c>
      <c r="L23" s="8">
        <v>537.4</v>
      </c>
      <c r="M23" s="8">
        <v>536</v>
      </c>
      <c r="N23" s="8">
        <v>364.4</v>
      </c>
      <c r="O23" s="8">
        <v>3885.2</v>
      </c>
      <c r="P23" s="8">
        <v>1298.8</v>
      </c>
      <c r="Q23" s="8">
        <v>717.7</v>
      </c>
      <c r="R23" s="8">
        <v>391.8</v>
      </c>
      <c r="S23" s="8">
        <v>507.6</v>
      </c>
      <c r="T23" s="8">
        <v>538.6</v>
      </c>
      <c r="U23" s="8">
        <v>368.5</v>
      </c>
      <c r="V23" s="8">
        <v>3831.1</v>
      </c>
    </row>
    <row r="24" spans="1:22" x14ac:dyDescent="0.15">
      <c r="A24" s="9">
        <v>30437</v>
      </c>
      <c r="B24" s="8">
        <v>1251.7</v>
      </c>
      <c r="C24" s="8">
        <v>697.9</v>
      </c>
      <c r="D24" s="8">
        <v>418.5</v>
      </c>
      <c r="E24" s="8">
        <v>510.6</v>
      </c>
      <c r="F24" s="8">
        <v>520.79999999999995</v>
      </c>
      <c r="G24" s="8">
        <v>360.5</v>
      </c>
      <c r="H24" s="8">
        <v>3760</v>
      </c>
      <c r="I24" s="8">
        <v>1294.5</v>
      </c>
      <c r="J24" s="8">
        <v>710.1</v>
      </c>
      <c r="K24" s="8">
        <v>390.5</v>
      </c>
      <c r="L24" s="8">
        <v>492.5</v>
      </c>
      <c r="M24" s="8">
        <v>538.70000000000005</v>
      </c>
      <c r="N24" s="8">
        <v>366.9</v>
      </c>
      <c r="O24" s="8">
        <v>3793.2</v>
      </c>
      <c r="P24" s="8">
        <v>1307.4000000000001</v>
      </c>
      <c r="Q24" s="8">
        <v>718.5</v>
      </c>
      <c r="R24" s="8">
        <v>395.5</v>
      </c>
      <c r="S24" s="8">
        <v>509.6</v>
      </c>
      <c r="T24" s="8">
        <v>542.29999999999995</v>
      </c>
      <c r="U24" s="8">
        <v>369.7</v>
      </c>
      <c r="V24" s="8">
        <v>3848.5</v>
      </c>
    </row>
    <row r="25" spans="1:22" x14ac:dyDescent="0.15">
      <c r="A25" s="9">
        <v>30468</v>
      </c>
      <c r="B25" s="8">
        <v>1269.3</v>
      </c>
      <c r="C25" s="8">
        <v>661.8</v>
      </c>
      <c r="D25" s="8">
        <v>383</v>
      </c>
      <c r="E25" s="8">
        <v>462.4</v>
      </c>
      <c r="F25" s="8">
        <v>507.3</v>
      </c>
      <c r="G25" s="8">
        <v>347.1</v>
      </c>
      <c r="H25" s="8">
        <v>3630.8</v>
      </c>
      <c r="I25" s="8">
        <v>1308.8</v>
      </c>
      <c r="J25" s="8">
        <v>713.9</v>
      </c>
      <c r="K25" s="8">
        <v>396.3</v>
      </c>
      <c r="L25" s="8">
        <v>504.8</v>
      </c>
      <c r="M25" s="8">
        <v>546.20000000000005</v>
      </c>
      <c r="N25" s="8">
        <v>369.3</v>
      </c>
      <c r="O25" s="8">
        <v>3839.4</v>
      </c>
      <c r="P25" s="8">
        <v>1316.9</v>
      </c>
      <c r="Q25" s="8">
        <v>717.5</v>
      </c>
      <c r="R25" s="8">
        <v>399.2</v>
      </c>
      <c r="S25" s="8">
        <v>510</v>
      </c>
      <c r="T25" s="8">
        <v>546.6</v>
      </c>
      <c r="U25" s="8">
        <v>371.1</v>
      </c>
      <c r="V25" s="8">
        <v>3865.1</v>
      </c>
    </row>
    <row r="26" spans="1:22" x14ac:dyDescent="0.15">
      <c r="A26" s="9">
        <v>30498</v>
      </c>
      <c r="B26" s="8">
        <v>1292.8</v>
      </c>
      <c r="C26" s="8">
        <v>656.9</v>
      </c>
      <c r="D26" s="8">
        <v>384</v>
      </c>
      <c r="E26" s="8">
        <v>468.3</v>
      </c>
      <c r="F26" s="8">
        <v>519.9</v>
      </c>
      <c r="G26" s="8">
        <v>364.5</v>
      </c>
      <c r="H26" s="8">
        <v>3686.5</v>
      </c>
      <c r="I26" s="8">
        <v>1330.8</v>
      </c>
      <c r="J26" s="8">
        <v>706.2</v>
      </c>
      <c r="K26" s="8">
        <v>402</v>
      </c>
      <c r="L26" s="8">
        <v>507</v>
      </c>
      <c r="M26" s="8">
        <v>549.1</v>
      </c>
      <c r="N26" s="8">
        <v>376</v>
      </c>
      <c r="O26" s="8">
        <v>3871.1</v>
      </c>
      <c r="P26" s="8">
        <v>1327.8</v>
      </c>
      <c r="Q26" s="8">
        <v>718.7</v>
      </c>
      <c r="R26" s="8">
        <v>402.6</v>
      </c>
      <c r="S26" s="8">
        <v>510.2</v>
      </c>
      <c r="T26" s="8">
        <v>551.29999999999995</v>
      </c>
      <c r="U26" s="8">
        <v>373.3</v>
      </c>
      <c r="V26" s="8">
        <v>3885.6</v>
      </c>
    </row>
    <row r="27" spans="1:22" x14ac:dyDescent="0.15">
      <c r="A27" s="9">
        <v>30529</v>
      </c>
      <c r="B27" s="8">
        <v>1337</v>
      </c>
      <c r="C27" s="8">
        <v>711</v>
      </c>
      <c r="D27" s="8">
        <v>379.9</v>
      </c>
      <c r="E27" s="8">
        <v>458.2</v>
      </c>
      <c r="F27" s="8">
        <v>554.20000000000005</v>
      </c>
      <c r="G27" s="8">
        <v>376</v>
      </c>
      <c r="H27" s="8">
        <v>3816.3</v>
      </c>
      <c r="I27" s="8">
        <v>1349.8</v>
      </c>
      <c r="J27" s="8">
        <v>733.7</v>
      </c>
      <c r="K27" s="8">
        <v>406.4</v>
      </c>
      <c r="L27" s="8">
        <v>516.29999999999995</v>
      </c>
      <c r="M27" s="8">
        <v>559.79999999999995</v>
      </c>
      <c r="N27" s="8">
        <v>379.4</v>
      </c>
      <c r="O27" s="8">
        <v>3945.5</v>
      </c>
      <c r="P27" s="8">
        <v>1342.2</v>
      </c>
      <c r="Q27" s="8">
        <v>722.7</v>
      </c>
      <c r="R27" s="8">
        <v>405.1</v>
      </c>
      <c r="S27" s="8">
        <v>511.5</v>
      </c>
      <c r="T27" s="8">
        <v>556.5</v>
      </c>
      <c r="U27" s="8">
        <v>375.3</v>
      </c>
      <c r="V27" s="8">
        <v>3912.6</v>
      </c>
    </row>
    <row r="28" spans="1:22" x14ac:dyDescent="0.15">
      <c r="A28" s="9">
        <v>30560</v>
      </c>
      <c r="B28" s="8">
        <v>1322.8</v>
      </c>
      <c r="C28" s="8">
        <v>690.3</v>
      </c>
      <c r="D28" s="8">
        <v>402</v>
      </c>
      <c r="E28" s="8">
        <v>482.7</v>
      </c>
      <c r="F28" s="8">
        <v>547.9</v>
      </c>
      <c r="G28" s="8">
        <v>377.6</v>
      </c>
      <c r="H28" s="8">
        <v>3823.4</v>
      </c>
      <c r="I28" s="8">
        <v>1353.9</v>
      </c>
      <c r="J28" s="8">
        <v>727.1</v>
      </c>
      <c r="K28" s="8">
        <v>418.3</v>
      </c>
      <c r="L28" s="8">
        <v>507.4</v>
      </c>
      <c r="M28" s="8">
        <v>564.6</v>
      </c>
      <c r="N28" s="8">
        <v>380.1</v>
      </c>
      <c r="O28" s="8">
        <v>3951.4</v>
      </c>
      <c r="P28" s="8">
        <v>1355.8</v>
      </c>
      <c r="Q28" s="8">
        <v>730.8</v>
      </c>
      <c r="R28" s="8">
        <v>407.1</v>
      </c>
      <c r="S28" s="8">
        <v>513.70000000000005</v>
      </c>
      <c r="T28" s="8">
        <v>561.70000000000005</v>
      </c>
      <c r="U28" s="8">
        <v>376.4</v>
      </c>
      <c r="V28" s="8">
        <v>3942.9</v>
      </c>
    </row>
    <row r="29" spans="1:22" x14ac:dyDescent="0.15">
      <c r="A29" s="9">
        <v>30590</v>
      </c>
      <c r="B29" s="8">
        <v>1355.4</v>
      </c>
      <c r="C29" s="8">
        <v>714.6</v>
      </c>
      <c r="D29" s="8">
        <v>395.8</v>
      </c>
      <c r="E29" s="8">
        <v>485.3</v>
      </c>
      <c r="F29" s="8">
        <v>553.5</v>
      </c>
      <c r="G29" s="8">
        <v>374.1</v>
      </c>
      <c r="H29" s="8">
        <v>3878.7</v>
      </c>
      <c r="I29" s="8">
        <v>1362.4</v>
      </c>
      <c r="J29" s="8">
        <v>739.8</v>
      </c>
      <c r="K29" s="8">
        <v>406.2</v>
      </c>
      <c r="L29" s="8">
        <v>526.4</v>
      </c>
      <c r="M29" s="8">
        <v>565.4</v>
      </c>
      <c r="N29" s="8">
        <v>372.3</v>
      </c>
      <c r="O29" s="8">
        <v>3972.3</v>
      </c>
      <c r="P29" s="8">
        <v>1365.5</v>
      </c>
      <c r="Q29" s="8">
        <v>738</v>
      </c>
      <c r="R29" s="8">
        <v>408.3</v>
      </c>
      <c r="S29" s="8">
        <v>515.79999999999995</v>
      </c>
      <c r="T29" s="8">
        <v>566</v>
      </c>
      <c r="U29" s="8">
        <v>377.3</v>
      </c>
      <c r="V29" s="8">
        <v>3971.4</v>
      </c>
    </row>
    <row r="30" spans="1:22" x14ac:dyDescent="0.15">
      <c r="A30" s="9">
        <v>30621</v>
      </c>
      <c r="B30" s="8">
        <v>1410.9</v>
      </c>
      <c r="C30" s="8">
        <v>815.5</v>
      </c>
      <c r="D30" s="8">
        <v>431.7</v>
      </c>
      <c r="E30" s="8">
        <v>568.70000000000005</v>
      </c>
      <c r="F30" s="8">
        <v>594.1</v>
      </c>
      <c r="G30" s="8">
        <v>390.6</v>
      </c>
      <c r="H30" s="8">
        <v>4211.5</v>
      </c>
      <c r="I30" s="8">
        <v>1377.3</v>
      </c>
      <c r="J30" s="8">
        <v>744.3</v>
      </c>
      <c r="K30" s="8">
        <v>399.1</v>
      </c>
      <c r="L30" s="8">
        <v>520.70000000000005</v>
      </c>
      <c r="M30" s="8">
        <v>567</v>
      </c>
      <c r="N30" s="8">
        <v>374.8</v>
      </c>
      <c r="O30" s="8">
        <v>3983.3</v>
      </c>
      <c r="P30" s="8">
        <v>1371.2</v>
      </c>
      <c r="Q30" s="8">
        <v>744.5</v>
      </c>
      <c r="R30" s="8">
        <v>410.1</v>
      </c>
      <c r="S30" s="8">
        <v>517.4</v>
      </c>
      <c r="T30" s="8">
        <v>569.4</v>
      </c>
      <c r="U30" s="8">
        <v>379.2</v>
      </c>
      <c r="V30" s="8">
        <v>3996.3</v>
      </c>
    </row>
    <row r="31" spans="1:22" x14ac:dyDescent="0.15">
      <c r="A31" s="9">
        <v>30651</v>
      </c>
      <c r="B31" s="8">
        <v>1642.3</v>
      </c>
      <c r="C31" s="8">
        <v>1197.8</v>
      </c>
      <c r="D31" s="8">
        <v>626</v>
      </c>
      <c r="E31" s="8">
        <v>963.7</v>
      </c>
      <c r="F31" s="8">
        <v>795.5</v>
      </c>
      <c r="G31" s="8">
        <v>459</v>
      </c>
      <c r="H31" s="8">
        <v>5684.3</v>
      </c>
      <c r="I31" s="8">
        <v>1383.2</v>
      </c>
      <c r="J31" s="8">
        <v>750.4</v>
      </c>
      <c r="K31" s="8">
        <v>413.5</v>
      </c>
      <c r="L31" s="8">
        <v>514.79999999999995</v>
      </c>
      <c r="M31" s="8">
        <v>572.5</v>
      </c>
      <c r="N31" s="8">
        <v>383.1</v>
      </c>
      <c r="O31" s="8">
        <v>4017.6</v>
      </c>
      <c r="P31" s="8">
        <v>1373</v>
      </c>
      <c r="Q31" s="8">
        <v>749.5</v>
      </c>
      <c r="R31" s="8">
        <v>414.6</v>
      </c>
      <c r="S31" s="8">
        <v>518.9</v>
      </c>
      <c r="T31" s="8">
        <v>572.5</v>
      </c>
      <c r="U31" s="8">
        <v>382.8</v>
      </c>
      <c r="V31" s="8">
        <v>4018.8</v>
      </c>
    </row>
    <row r="32" spans="1:22" x14ac:dyDescent="0.15">
      <c r="A32" s="9">
        <v>30682</v>
      </c>
      <c r="B32" s="8">
        <v>1314.5</v>
      </c>
      <c r="C32" s="8">
        <v>684.2</v>
      </c>
      <c r="D32" s="8">
        <v>357.6</v>
      </c>
      <c r="E32" s="8">
        <v>414.7</v>
      </c>
      <c r="F32" s="8">
        <v>538.79999999999995</v>
      </c>
      <c r="G32" s="8">
        <v>388.8</v>
      </c>
      <c r="H32" s="8">
        <v>3698.5</v>
      </c>
      <c r="I32" s="8">
        <v>1368.9</v>
      </c>
      <c r="J32" s="8">
        <v>771.3</v>
      </c>
      <c r="K32" s="8">
        <v>421.1</v>
      </c>
      <c r="L32" s="8">
        <v>510.2</v>
      </c>
      <c r="M32" s="8">
        <v>576.70000000000005</v>
      </c>
      <c r="N32" s="8">
        <v>391.2</v>
      </c>
      <c r="O32" s="8">
        <v>4039.3</v>
      </c>
      <c r="P32" s="8">
        <v>1372.9</v>
      </c>
      <c r="Q32" s="8">
        <v>750.9</v>
      </c>
      <c r="R32" s="8">
        <v>419.6</v>
      </c>
      <c r="S32" s="8">
        <v>521.1</v>
      </c>
      <c r="T32" s="8">
        <v>575.79999999999995</v>
      </c>
      <c r="U32" s="8">
        <v>388.7</v>
      </c>
      <c r="V32" s="8">
        <v>4040.1</v>
      </c>
    </row>
    <row r="33" spans="1:22" x14ac:dyDescent="0.15">
      <c r="A33" s="9">
        <v>30713</v>
      </c>
      <c r="B33" s="8">
        <v>1335.4</v>
      </c>
      <c r="C33" s="8">
        <v>698.5</v>
      </c>
      <c r="D33" s="8">
        <v>346</v>
      </c>
      <c r="E33" s="8">
        <v>414.5</v>
      </c>
      <c r="F33" s="8">
        <v>561.6</v>
      </c>
      <c r="G33" s="8">
        <v>377.1</v>
      </c>
      <c r="H33" s="8">
        <v>3733.2</v>
      </c>
      <c r="I33" s="8">
        <v>1369</v>
      </c>
      <c r="J33" s="8">
        <v>768.8</v>
      </c>
      <c r="K33" s="8">
        <v>421.4</v>
      </c>
      <c r="L33" s="8">
        <v>530.70000000000005</v>
      </c>
      <c r="M33" s="8">
        <v>577.9</v>
      </c>
      <c r="N33" s="8">
        <v>393.3</v>
      </c>
      <c r="O33" s="8">
        <v>4061.2</v>
      </c>
      <c r="P33" s="8">
        <v>1375.1</v>
      </c>
      <c r="Q33" s="8">
        <v>748.6</v>
      </c>
      <c r="R33" s="8">
        <v>425.5</v>
      </c>
      <c r="S33" s="8">
        <v>525.4</v>
      </c>
      <c r="T33" s="8">
        <v>578.79999999999995</v>
      </c>
      <c r="U33" s="8">
        <v>395</v>
      </c>
      <c r="V33" s="8">
        <v>4061.2</v>
      </c>
    </row>
    <row r="34" spans="1:22" x14ac:dyDescent="0.15">
      <c r="A34" s="9">
        <v>30742</v>
      </c>
      <c r="B34" s="8">
        <v>1388.8</v>
      </c>
      <c r="C34" s="8">
        <v>746</v>
      </c>
      <c r="D34" s="8">
        <v>419</v>
      </c>
      <c r="E34" s="8">
        <v>484.7</v>
      </c>
      <c r="F34" s="8">
        <v>574.6</v>
      </c>
      <c r="G34" s="8">
        <v>397.8</v>
      </c>
      <c r="H34" s="8">
        <v>4010.9</v>
      </c>
      <c r="I34" s="8">
        <v>1363.2</v>
      </c>
      <c r="J34" s="8">
        <v>773.7</v>
      </c>
      <c r="K34" s="8">
        <v>444.1</v>
      </c>
      <c r="L34" s="8">
        <v>534.20000000000005</v>
      </c>
      <c r="M34" s="8">
        <v>582.70000000000005</v>
      </c>
      <c r="N34" s="8">
        <v>401.2</v>
      </c>
      <c r="O34" s="8">
        <v>4098.8999999999996</v>
      </c>
      <c r="P34" s="8">
        <v>1380.4</v>
      </c>
      <c r="Q34" s="8">
        <v>747.5</v>
      </c>
      <c r="R34" s="8">
        <v>430.2</v>
      </c>
      <c r="S34" s="8">
        <v>532</v>
      </c>
      <c r="T34" s="8">
        <v>582.29999999999995</v>
      </c>
      <c r="U34" s="8">
        <v>400.3</v>
      </c>
      <c r="V34" s="8">
        <v>4082.3</v>
      </c>
    </row>
    <row r="35" spans="1:22" x14ac:dyDescent="0.15">
      <c r="A35" s="9">
        <v>30773</v>
      </c>
      <c r="B35" s="8">
        <v>1346.5</v>
      </c>
      <c r="C35" s="8">
        <v>634.70000000000005</v>
      </c>
      <c r="D35" s="8">
        <v>406.9</v>
      </c>
      <c r="E35" s="8">
        <v>487.3</v>
      </c>
      <c r="F35" s="8">
        <v>529.70000000000005</v>
      </c>
      <c r="G35" s="8">
        <v>383.3</v>
      </c>
      <c r="H35" s="8">
        <v>3788.4</v>
      </c>
      <c r="I35" s="8">
        <v>1402.6</v>
      </c>
      <c r="J35" s="8">
        <v>734.3</v>
      </c>
      <c r="K35" s="8">
        <v>431</v>
      </c>
      <c r="L35" s="8">
        <v>541.70000000000005</v>
      </c>
      <c r="M35" s="8">
        <v>584.20000000000005</v>
      </c>
      <c r="N35" s="8">
        <v>403.9</v>
      </c>
      <c r="O35" s="8">
        <v>4097.7</v>
      </c>
      <c r="P35" s="8">
        <v>1389.4</v>
      </c>
      <c r="Q35" s="8">
        <v>744.1</v>
      </c>
      <c r="R35" s="8">
        <v>431.4</v>
      </c>
      <c r="S35" s="8">
        <v>540.5</v>
      </c>
      <c r="T35" s="8">
        <v>584.5</v>
      </c>
      <c r="U35" s="8">
        <v>403.8</v>
      </c>
      <c r="V35" s="8">
        <v>4101.7</v>
      </c>
    </row>
    <row r="36" spans="1:22" x14ac:dyDescent="0.15">
      <c r="A36" s="9">
        <v>30803</v>
      </c>
      <c r="B36" s="8">
        <v>1404.3</v>
      </c>
      <c r="C36" s="8">
        <v>755</v>
      </c>
      <c r="D36" s="8">
        <v>480.9</v>
      </c>
      <c r="E36" s="8">
        <v>597.9</v>
      </c>
      <c r="F36" s="8">
        <v>590.1</v>
      </c>
      <c r="G36" s="8">
        <v>414</v>
      </c>
      <c r="H36" s="8">
        <v>4242.3</v>
      </c>
      <c r="I36" s="8">
        <v>1401</v>
      </c>
      <c r="J36" s="8">
        <v>741.8</v>
      </c>
      <c r="K36" s="8">
        <v>431.8</v>
      </c>
      <c r="L36" s="8">
        <v>546.70000000000005</v>
      </c>
      <c r="M36" s="8">
        <v>589.5</v>
      </c>
      <c r="N36" s="8">
        <v>411.6</v>
      </c>
      <c r="O36" s="8">
        <v>4122.3</v>
      </c>
      <c r="P36" s="8">
        <v>1399.2</v>
      </c>
      <c r="Q36" s="8">
        <v>742.5</v>
      </c>
      <c r="R36" s="8">
        <v>431.3</v>
      </c>
      <c r="S36" s="8">
        <v>549.9</v>
      </c>
      <c r="T36" s="8">
        <v>586.5</v>
      </c>
      <c r="U36" s="8">
        <v>406.1</v>
      </c>
      <c r="V36" s="8">
        <v>4120.1000000000004</v>
      </c>
    </row>
    <row r="37" spans="1:22" x14ac:dyDescent="0.15">
      <c r="A37" s="9">
        <v>30834</v>
      </c>
      <c r="B37" s="8">
        <v>1367.6</v>
      </c>
      <c r="C37" s="8">
        <v>677.2</v>
      </c>
      <c r="D37" s="8">
        <v>403.1</v>
      </c>
      <c r="E37" s="8">
        <v>500.4</v>
      </c>
      <c r="F37" s="8">
        <v>542.20000000000005</v>
      </c>
      <c r="G37" s="8">
        <v>381.5</v>
      </c>
      <c r="H37" s="8">
        <v>3872.1</v>
      </c>
      <c r="I37" s="8">
        <v>1407.3</v>
      </c>
      <c r="J37" s="8">
        <v>731.4</v>
      </c>
      <c r="K37" s="8">
        <v>419.2</v>
      </c>
      <c r="L37" s="8">
        <v>545.1</v>
      </c>
      <c r="M37" s="8">
        <v>585.70000000000005</v>
      </c>
      <c r="N37" s="8">
        <v>404.6</v>
      </c>
      <c r="O37" s="8">
        <v>4093.2</v>
      </c>
      <c r="P37" s="8">
        <v>1409.5</v>
      </c>
      <c r="Q37" s="8">
        <v>743</v>
      </c>
      <c r="R37" s="8">
        <v>430.2</v>
      </c>
      <c r="S37" s="8">
        <v>558.70000000000005</v>
      </c>
      <c r="T37" s="8">
        <v>588.5</v>
      </c>
      <c r="U37" s="8">
        <v>407.5</v>
      </c>
      <c r="V37" s="8">
        <v>4139.1000000000004</v>
      </c>
    </row>
    <row r="38" spans="1:22" x14ac:dyDescent="0.15">
      <c r="A38" s="9">
        <v>30864</v>
      </c>
      <c r="B38" s="8">
        <v>1361.6</v>
      </c>
      <c r="C38" s="8">
        <v>708.7</v>
      </c>
      <c r="D38" s="8">
        <v>411.9</v>
      </c>
      <c r="E38" s="8">
        <v>543.4</v>
      </c>
      <c r="F38" s="8">
        <v>559.4</v>
      </c>
      <c r="G38" s="8">
        <v>393</v>
      </c>
      <c r="H38" s="8">
        <v>3978</v>
      </c>
      <c r="I38" s="8">
        <v>1428.2</v>
      </c>
      <c r="J38" s="8">
        <v>763.3</v>
      </c>
      <c r="K38" s="8">
        <v>434.5</v>
      </c>
      <c r="L38" s="8">
        <v>592.70000000000005</v>
      </c>
      <c r="M38" s="8">
        <v>595.9</v>
      </c>
      <c r="N38" s="8">
        <v>408.9</v>
      </c>
      <c r="O38" s="8">
        <v>4223.6000000000004</v>
      </c>
      <c r="P38" s="8">
        <v>1419.3</v>
      </c>
      <c r="Q38" s="8">
        <v>746.2</v>
      </c>
      <c r="R38" s="8">
        <v>430.3</v>
      </c>
      <c r="S38" s="8">
        <v>565.70000000000005</v>
      </c>
      <c r="T38" s="8">
        <v>591.29999999999995</v>
      </c>
      <c r="U38" s="8">
        <v>408.3</v>
      </c>
      <c r="V38" s="8">
        <v>4160.3999999999996</v>
      </c>
    </row>
    <row r="39" spans="1:22" x14ac:dyDescent="0.15">
      <c r="A39" s="9">
        <v>30895</v>
      </c>
      <c r="B39" s="8">
        <v>1436.7</v>
      </c>
      <c r="C39" s="8">
        <v>740.9</v>
      </c>
      <c r="D39" s="8">
        <v>414.5</v>
      </c>
      <c r="E39" s="8">
        <v>503.4</v>
      </c>
      <c r="F39" s="8">
        <v>591.6</v>
      </c>
      <c r="G39" s="8">
        <v>409</v>
      </c>
      <c r="H39" s="8">
        <v>4096.1000000000004</v>
      </c>
      <c r="I39" s="8">
        <v>1425.5</v>
      </c>
      <c r="J39" s="8">
        <v>750.6</v>
      </c>
      <c r="K39" s="8">
        <v>434.1</v>
      </c>
      <c r="L39" s="8">
        <v>558.9</v>
      </c>
      <c r="M39" s="8">
        <v>589.29999999999995</v>
      </c>
      <c r="N39" s="8">
        <v>406.8</v>
      </c>
      <c r="O39" s="8">
        <v>4165.1000000000004</v>
      </c>
      <c r="P39" s="8">
        <v>1426.8</v>
      </c>
      <c r="Q39" s="8">
        <v>753</v>
      </c>
      <c r="R39" s="8">
        <v>430.9</v>
      </c>
      <c r="S39" s="8">
        <v>570.79999999999995</v>
      </c>
      <c r="T39" s="8">
        <v>595.70000000000005</v>
      </c>
      <c r="U39" s="8">
        <v>408.9</v>
      </c>
      <c r="V39" s="8">
        <v>4184.7</v>
      </c>
    </row>
    <row r="40" spans="1:22" x14ac:dyDescent="0.15">
      <c r="A40" s="9">
        <v>30926</v>
      </c>
      <c r="B40" s="8">
        <v>1355.6</v>
      </c>
      <c r="C40" s="8">
        <v>679</v>
      </c>
      <c r="D40" s="8">
        <v>392.1</v>
      </c>
      <c r="E40" s="8">
        <v>522.79999999999995</v>
      </c>
      <c r="F40" s="8">
        <v>557.20000000000005</v>
      </c>
      <c r="G40" s="8">
        <v>394.7</v>
      </c>
      <c r="H40" s="8">
        <v>3901.4</v>
      </c>
      <c r="I40" s="8">
        <v>1427.7</v>
      </c>
      <c r="J40" s="8">
        <v>751.1</v>
      </c>
      <c r="K40" s="8">
        <v>429.1</v>
      </c>
      <c r="L40" s="8">
        <v>579.6</v>
      </c>
      <c r="M40" s="8">
        <v>596.6</v>
      </c>
      <c r="N40" s="8">
        <v>408.8</v>
      </c>
      <c r="O40" s="8">
        <v>4192.8</v>
      </c>
      <c r="P40" s="8">
        <v>1434.7</v>
      </c>
      <c r="Q40" s="8">
        <v>759.7</v>
      </c>
      <c r="R40" s="8">
        <v>433.3</v>
      </c>
      <c r="S40" s="8">
        <v>574.6</v>
      </c>
      <c r="T40" s="8">
        <v>600.5</v>
      </c>
      <c r="U40" s="8">
        <v>410.6</v>
      </c>
      <c r="V40" s="8">
        <v>4212.2</v>
      </c>
    </row>
    <row r="41" spans="1:22" x14ac:dyDescent="0.15">
      <c r="A41" s="9">
        <v>30956</v>
      </c>
      <c r="B41" s="8">
        <v>1462.7</v>
      </c>
      <c r="C41" s="8">
        <v>769.3</v>
      </c>
      <c r="D41" s="8">
        <v>446.3</v>
      </c>
      <c r="E41" s="8">
        <v>556.6</v>
      </c>
      <c r="F41" s="8">
        <v>614.5</v>
      </c>
      <c r="G41" s="8">
        <v>424.5</v>
      </c>
      <c r="H41" s="8">
        <v>4274</v>
      </c>
      <c r="I41" s="8">
        <v>1442.9</v>
      </c>
      <c r="J41" s="8">
        <v>762.8</v>
      </c>
      <c r="K41" s="8">
        <v>440</v>
      </c>
      <c r="L41" s="8">
        <v>576.20000000000005</v>
      </c>
      <c r="M41" s="8">
        <v>608.5</v>
      </c>
      <c r="N41" s="8">
        <v>414.3</v>
      </c>
      <c r="O41" s="8">
        <v>4244.7</v>
      </c>
      <c r="P41" s="8">
        <v>1445.4</v>
      </c>
      <c r="Q41" s="8">
        <v>763.1</v>
      </c>
      <c r="R41" s="8">
        <v>437.5</v>
      </c>
      <c r="S41" s="8">
        <v>577.5</v>
      </c>
      <c r="T41" s="8">
        <v>605.70000000000005</v>
      </c>
      <c r="U41" s="8">
        <v>412.4</v>
      </c>
      <c r="V41" s="8">
        <v>4241.5</v>
      </c>
    </row>
    <row r="42" spans="1:22" x14ac:dyDescent="0.15">
      <c r="A42" s="9">
        <v>30987</v>
      </c>
      <c r="B42" s="8">
        <v>1501.4</v>
      </c>
      <c r="C42" s="8">
        <v>859.3</v>
      </c>
      <c r="D42" s="8">
        <v>484.8</v>
      </c>
      <c r="E42" s="8">
        <v>623.20000000000005</v>
      </c>
      <c r="F42" s="8">
        <v>651.79999999999995</v>
      </c>
      <c r="G42" s="8">
        <v>436.5</v>
      </c>
      <c r="H42" s="8">
        <v>4557.1000000000004</v>
      </c>
      <c r="I42" s="8">
        <v>1457</v>
      </c>
      <c r="J42" s="8">
        <v>775.8</v>
      </c>
      <c r="K42" s="8">
        <v>443</v>
      </c>
      <c r="L42" s="8">
        <v>577.6</v>
      </c>
      <c r="M42" s="8">
        <v>617.5</v>
      </c>
      <c r="N42" s="8">
        <v>416.1</v>
      </c>
      <c r="O42" s="8">
        <v>4287</v>
      </c>
      <c r="P42" s="8">
        <v>1456.3</v>
      </c>
      <c r="Q42" s="8">
        <v>765.2</v>
      </c>
      <c r="R42" s="8">
        <v>442.2</v>
      </c>
      <c r="S42" s="8">
        <v>580.4</v>
      </c>
      <c r="T42" s="8">
        <v>610.79999999999995</v>
      </c>
      <c r="U42" s="8">
        <v>415.3</v>
      </c>
      <c r="V42" s="8">
        <v>4270.8999999999996</v>
      </c>
    </row>
    <row r="43" spans="1:22" x14ac:dyDescent="0.15">
      <c r="A43" s="9">
        <v>31017</v>
      </c>
      <c r="B43" s="8">
        <v>1686.6</v>
      </c>
      <c r="C43" s="8">
        <v>1174.5999999999999</v>
      </c>
      <c r="D43" s="8">
        <v>638.79999999999995</v>
      </c>
      <c r="E43" s="8">
        <v>1039.4000000000001</v>
      </c>
      <c r="F43" s="8">
        <v>820</v>
      </c>
      <c r="G43" s="8">
        <v>488.1</v>
      </c>
      <c r="H43" s="8">
        <v>5847.5</v>
      </c>
      <c r="I43" s="8">
        <v>1469.3</v>
      </c>
      <c r="J43" s="8">
        <v>778.2</v>
      </c>
      <c r="K43" s="8">
        <v>441.2</v>
      </c>
      <c r="L43" s="8">
        <v>580.70000000000005</v>
      </c>
      <c r="M43" s="8">
        <v>613.1</v>
      </c>
      <c r="N43" s="8">
        <v>419.2</v>
      </c>
      <c r="O43" s="8">
        <v>4301.7</v>
      </c>
      <c r="P43" s="8">
        <v>1468.7</v>
      </c>
      <c r="Q43" s="8">
        <v>768</v>
      </c>
      <c r="R43" s="8">
        <v>447</v>
      </c>
      <c r="S43" s="8">
        <v>585.29999999999995</v>
      </c>
      <c r="T43" s="8">
        <v>615.20000000000005</v>
      </c>
      <c r="U43" s="8">
        <v>418.2</v>
      </c>
      <c r="V43" s="8">
        <v>4303</v>
      </c>
    </row>
    <row r="44" spans="1:22" x14ac:dyDescent="0.15">
      <c r="A44" s="9">
        <v>31048</v>
      </c>
      <c r="B44" s="8">
        <v>1484.7</v>
      </c>
      <c r="C44" s="8">
        <v>703</v>
      </c>
      <c r="D44" s="8">
        <v>401.6</v>
      </c>
      <c r="E44" s="8">
        <v>516.29999999999995</v>
      </c>
      <c r="F44" s="8">
        <v>598.9</v>
      </c>
      <c r="G44" s="8">
        <v>425.6</v>
      </c>
      <c r="H44" s="8">
        <v>4130</v>
      </c>
      <c r="I44" s="8">
        <v>1488.3</v>
      </c>
      <c r="J44" s="8">
        <v>764</v>
      </c>
      <c r="K44" s="8">
        <v>455</v>
      </c>
      <c r="L44" s="8">
        <v>596.5</v>
      </c>
      <c r="M44" s="8">
        <v>618.4</v>
      </c>
      <c r="N44" s="8">
        <v>418.9</v>
      </c>
      <c r="O44" s="8">
        <v>4341.1000000000004</v>
      </c>
      <c r="P44" s="8">
        <v>1480</v>
      </c>
      <c r="Q44" s="8">
        <v>774.2</v>
      </c>
      <c r="R44" s="8">
        <v>452.9</v>
      </c>
      <c r="S44" s="8">
        <v>593.4</v>
      </c>
      <c r="T44" s="8">
        <v>618.70000000000005</v>
      </c>
      <c r="U44" s="8">
        <v>421.3</v>
      </c>
      <c r="V44" s="8">
        <v>4339.8</v>
      </c>
    </row>
    <row r="45" spans="1:22" x14ac:dyDescent="0.15">
      <c r="A45" s="9">
        <v>31079</v>
      </c>
      <c r="B45" s="8">
        <v>1397</v>
      </c>
      <c r="C45" s="8">
        <v>669.4</v>
      </c>
      <c r="D45" s="8">
        <v>368.2</v>
      </c>
      <c r="E45" s="8">
        <v>452.5</v>
      </c>
      <c r="F45" s="8">
        <v>577.9</v>
      </c>
      <c r="G45" s="8">
        <v>391.8</v>
      </c>
      <c r="H45" s="8">
        <v>3856.8</v>
      </c>
      <c r="I45" s="8">
        <v>1493</v>
      </c>
      <c r="J45" s="8">
        <v>766.4</v>
      </c>
      <c r="K45" s="8">
        <v>466.6</v>
      </c>
      <c r="L45" s="8">
        <v>606.5</v>
      </c>
      <c r="M45" s="8">
        <v>621</v>
      </c>
      <c r="N45" s="8">
        <v>425.8</v>
      </c>
      <c r="O45" s="8">
        <v>4379.3</v>
      </c>
      <c r="P45" s="8">
        <v>1491.8</v>
      </c>
      <c r="Q45" s="8">
        <v>783.3</v>
      </c>
      <c r="R45" s="8">
        <v>459.1</v>
      </c>
      <c r="S45" s="8">
        <v>604.1</v>
      </c>
      <c r="T45" s="8">
        <v>620.4</v>
      </c>
      <c r="U45" s="8">
        <v>424.7</v>
      </c>
      <c r="V45" s="8">
        <v>4383.3</v>
      </c>
    </row>
    <row r="46" spans="1:22" x14ac:dyDescent="0.15">
      <c r="A46" s="9">
        <v>31107</v>
      </c>
      <c r="B46" s="8">
        <v>1495</v>
      </c>
      <c r="C46" s="8">
        <v>742.2</v>
      </c>
      <c r="D46" s="8">
        <v>418.3</v>
      </c>
      <c r="E46" s="8">
        <v>525.79999999999995</v>
      </c>
      <c r="F46" s="8">
        <v>599.6</v>
      </c>
      <c r="G46" s="8">
        <v>416.1</v>
      </c>
      <c r="H46" s="8">
        <v>4196.8999999999996</v>
      </c>
      <c r="I46" s="8">
        <v>1497.7</v>
      </c>
      <c r="J46" s="8">
        <v>793.3</v>
      </c>
      <c r="K46" s="8">
        <v>459.6</v>
      </c>
      <c r="L46" s="8">
        <v>604.1</v>
      </c>
      <c r="M46" s="8">
        <v>624.20000000000005</v>
      </c>
      <c r="N46" s="8">
        <v>427.7</v>
      </c>
      <c r="O46" s="8">
        <v>4406.6000000000004</v>
      </c>
      <c r="P46" s="8">
        <v>1504.3</v>
      </c>
      <c r="Q46" s="8">
        <v>793.3</v>
      </c>
      <c r="R46" s="8">
        <v>465.5</v>
      </c>
      <c r="S46" s="8">
        <v>615.1</v>
      </c>
      <c r="T46" s="8">
        <v>623.20000000000005</v>
      </c>
      <c r="U46" s="8">
        <v>428.7</v>
      </c>
      <c r="V46" s="8">
        <v>4431</v>
      </c>
    </row>
    <row r="47" spans="1:22" x14ac:dyDescent="0.15">
      <c r="A47" s="9">
        <v>31138</v>
      </c>
      <c r="B47" s="8">
        <v>1474.9</v>
      </c>
      <c r="C47" s="8">
        <v>721.6</v>
      </c>
      <c r="D47" s="8">
        <v>450.3</v>
      </c>
      <c r="E47" s="8">
        <v>587.70000000000005</v>
      </c>
      <c r="F47" s="8">
        <v>574.6</v>
      </c>
      <c r="G47" s="8">
        <v>419.8</v>
      </c>
      <c r="H47" s="8">
        <v>4228.8999999999996</v>
      </c>
      <c r="I47" s="8">
        <v>1513.7</v>
      </c>
      <c r="J47" s="8">
        <v>813.8</v>
      </c>
      <c r="K47" s="8">
        <v>467.4</v>
      </c>
      <c r="L47" s="8">
        <v>624.1</v>
      </c>
      <c r="M47" s="8">
        <v>621.70000000000005</v>
      </c>
      <c r="N47" s="8">
        <v>436</v>
      </c>
      <c r="O47" s="8">
        <v>4476.7</v>
      </c>
      <c r="P47" s="8">
        <v>1517.5</v>
      </c>
      <c r="Q47" s="8">
        <v>807.1</v>
      </c>
      <c r="R47" s="8">
        <v>471.6</v>
      </c>
      <c r="S47" s="8">
        <v>625.20000000000005</v>
      </c>
      <c r="T47" s="8">
        <v>627.1</v>
      </c>
      <c r="U47" s="8">
        <v>434.3</v>
      </c>
      <c r="V47" s="8">
        <v>4482.6000000000004</v>
      </c>
    </row>
    <row r="48" spans="1:22" x14ac:dyDescent="0.15">
      <c r="A48" s="9">
        <v>31168</v>
      </c>
      <c r="B48" s="8">
        <v>1556.8</v>
      </c>
      <c r="C48" s="8">
        <v>855.8</v>
      </c>
      <c r="D48" s="8">
        <v>540.1</v>
      </c>
      <c r="E48" s="8">
        <v>700.3</v>
      </c>
      <c r="F48" s="8">
        <v>639.9</v>
      </c>
      <c r="G48" s="8">
        <v>446.2</v>
      </c>
      <c r="H48" s="8">
        <v>4739.1000000000004</v>
      </c>
      <c r="I48" s="8">
        <v>1535.9</v>
      </c>
      <c r="J48" s="8">
        <v>831.4</v>
      </c>
      <c r="K48" s="8">
        <v>481.2</v>
      </c>
      <c r="L48" s="8">
        <v>655</v>
      </c>
      <c r="M48" s="8">
        <v>632.70000000000005</v>
      </c>
      <c r="N48" s="8">
        <v>440.5</v>
      </c>
      <c r="O48" s="8">
        <v>4576.7</v>
      </c>
      <c r="P48" s="8">
        <v>1533.8</v>
      </c>
      <c r="Q48" s="8">
        <v>818.7</v>
      </c>
      <c r="R48" s="8">
        <v>477.4</v>
      </c>
      <c r="S48" s="8">
        <v>633</v>
      </c>
      <c r="T48" s="8">
        <v>632.70000000000005</v>
      </c>
      <c r="U48" s="8">
        <v>439.8</v>
      </c>
      <c r="V48" s="8">
        <v>4535.2</v>
      </c>
    </row>
    <row r="49" spans="1:22" x14ac:dyDescent="0.15">
      <c r="A49" s="9">
        <v>31199</v>
      </c>
      <c r="B49" s="8">
        <v>1453.7</v>
      </c>
      <c r="C49" s="8">
        <v>742.3</v>
      </c>
      <c r="D49" s="8">
        <v>452.3</v>
      </c>
      <c r="E49" s="8">
        <v>561.79999999999995</v>
      </c>
      <c r="F49" s="8">
        <v>573.5</v>
      </c>
      <c r="G49" s="8">
        <v>406.8</v>
      </c>
      <c r="H49" s="8">
        <v>4190.3</v>
      </c>
      <c r="I49" s="8">
        <v>1543.3</v>
      </c>
      <c r="J49" s="8">
        <v>829.8</v>
      </c>
      <c r="K49" s="8">
        <v>487.9</v>
      </c>
      <c r="L49" s="8">
        <v>632.5</v>
      </c>
      <c r="M49" s="8">
        <v>639.20000000000005</v>
      </c>
      <c r="N49" s="8">
        <v>442.3</v>
      </c>
      <c r="O49" s="8">
        <v>4575.1000000000004</v>
      </c>
      <c r="P49" s="8">
        <v>1551.9</v>
      </c>
      <c r="Q49" s="8">
        <v>827.9</v>
      </c>
      <c r="R49" s="8">
        <v>482.7</v>
      </c>
      <c r="S49" s="8">
        <v>638.20000000000005</v>
      </c>
      <c r="T49" s="8">
        <v>638.6</v>
      </c>
      <c r="U49" s="8">
        <v>446.9</v>
      </c>
      <c r="V49" s="8">
        <v>4586.1000000000004</v>
      </c>
    </row>
    <row r="50" spans="1:22" x14ac:dyDescent="0.15">
      <c r="A50" s="9">
        <v>31229</v>
      </c>
      <c r="B50" s="8">
        <v>1558.6</v>
      </c>
      <c r="C50" s="8">
        <v>799.9</v>
      </c>
      <c r="D50" s="8">
        <v>476.4</v>
      </c>
      <c r="E50" s="8">
        <v>602.79999999999995</v>
      </c>
      <c r="F50" s="8">
        <v>628.6</v>
      </c>
      <c r="G50" s="8">
        <v>448.5</v>
      </c>
      <c r="H50" s="8">
        <v>4514.6000000000004</v>
      </c>
      <c r="I50" s="8">
        <v>1589.8</v>
      </c>
      <c r="J50" s="8">
        <v>834.3</v>
      </c>
      <c r="K50" s="8">
        <v>486.1</v>
      </c>
      <c r="L50" s="8">
        <v>636</v>
      </c>
      <c r="M50" s="8">
        <v>648</v>
      </c>
      <c r="N50" s="8">
        <v>455.2</v>
      </c>
      <c r="O50" s="8">
        <v>4649.3</v>
      </c>
      <c r="P50" s="8">
        <v>1570.8</v>
      </c>
      <c r="Q50" s="8">
        <v>837</v>
      </c>
      <c r="R50" s="8">
        <v>488.2</v>
      </c>
      <c r="S50" s="8">
        <v>640.9</v>
      </c>
      <c r="T50" s="8">
        <v>644.79999999999995</v>
      </c>
      <c r="U50" s="8">
        <v>454.7</v>
      </c>
      <c r="V50" s="8">
        <v>4635.5</v>
      </c>
    </row>
    <row r="51" spans="1:22" x14ac:dyDescent="0.15">
      <c r="A51" s="9">
        <v>31260</v>
      </c>
      <c r="B51" s="8">
        <v>1585.7</v>
      </c>
      <c r="C51" s="8">
        <v>815.5</v>
      </c>
      <c r="D51" s="8">
        <v>467</v>
      </c>
      <c r="E51" s="8">
        <v>582.5</v>
      </c>
      <c r="F51" s="8">
        <v>649.6</v>
      </c>
      <c r="G51" s="8">
        <v>466</v>
      </c>
      <c r="H51" s="8">
        <v>4566.3</v>
      </c>
      <c r="I51" s="8">
        <v>1573.8</v>
      </c>
      <c r="J51" s="8">
        <v>832.8</v>
      </c>
      <c r="K51" s="8">
        <v>493.5</v>
      </c>
      <c r="L51" s="8">
        <v>639.1</v>
      </c>
      <c r="M51" s="8">
        <v>652.20000000000005</v>
      </c>
      <c r="N51" s="8">
        <v>464</v>
      </c>
      <c r="O51" s="8">
        <v>4655.3</v>
      </c>
      <c r="P51" s="8">
        <v>1588</v>
      </c>
      <c r="Q51" s="8">
        <v>845.3</v>
      </c>
      <c r="R51" s="8">
        <v>494.7</v>
      </c>
      <c r="S51" s="8">
        <v>642.5</v>
      </c>
      <c r="T51" s="8">
        <v>650.6</v>
      </c>
      <c r="U51" s="8">
        <v>463</v>
      </c>
      <c r="V51" s="8">
        <v>4684.6000000000004</v>
      </c>
    </row>
    <row r="52" spans="1:22" x14ac:dyDescent="0.15">
      <c r="A52" s="9">
        <v>31291</v>
      </c>
      <c r="B52" s="8">
        <v>1518</v>
      </c>
      <c r="C52" s="8">
        <v>776.8</v>
      </c>
      <c r="D52" s="8">
        <v>452.6</v>
      </c>
      <c r="E52" s="8">
        <v>563.1</v>
      </c>
      <c r="F52" s="8">
        <v>614.70000000000005</v>
      </c>
      <c r="G52" s="8">
        <v>455.2</v>
      </c>
      <c r="H52" s="8">
        <v>4380.3</v>
      </c>
      <c r="I52" s="8">
        <v>1607.6</v>
      </c>
      <c r="J52" s="8">
        <v>850.8</v>
      </c>
      <c r="K52" s="8">
        <v>490.2</v>
      </c>
      <c r="L52" s="8">
        <v>646.1</v>
      </c>
      <c r="M52" s="8">
        <v>656.3</v>
      </c>
      <c r="N52" s="8">
        <v>470.8</v>
      </c>
      <c r="O52" s="8">
        <v>4721.8</v>
      </c>
      <c r="P52" s="8">
        <v>1604.5</v>
      </c>
      <c r="Q52" s="8">
        <v>855.2</v>
      </c>
      <c r="R52" s="8">
        <v>501.1</v>
      </c>
      <c r="S52" s="8">
        <v>644.6</v>
      </c>
      <c r="T52" s="8">
        <v>656.8</v>
      </c>
      <c r="U52" s="8">
        <v>471.1</v>
      </c>
      <c r="V52" s="8">
        <v>4734.3</v>
      </c>
    </row>
    <row r="53" spans="1:22" x14ac:dyDescent="0.15">
      <c r="A53" s="9">
        <v>31321</v>
      </c>
      <c r="B53" s="8">
        <v>1655.7</v>
      </c>
      <c r="C53" s="8">
        <v>881.3</v>
      </c>
      <c r="D53" s="8">
        <v>522.9</v>
      </c>
      <c r="E53" s="8">
        <v>637.1</v>
      </c>
      <c r="F53" s="8">
        <v>667</v>
      </c>
      <c r="G53" s="8">
        <v>493.6</v>
      </c>
      <c r="H53" s="8">
        <v>4857.7</v>
      </c>
      <c r="I53" s="8">
        <v>1627.5</v>
      </c>
      <c r="J53" s="8">
        <v>864.6</v>
      </c>
      <c r="K53" s="8">
        <v>509.3</v>
      </c>
      <c r="L53" s="8">
        <v>648.5</v>
      </c>
      <c r="M53" s="8">
        <v>657.3</v>
      </c>
      <c r="N53" s="8">
        <v>481</v>
      </c>
      <c r="O53" s="8">
        <v>4788.2</v>
      </c>
      <c r="P53" s="8">
        <v>1618.7</v>
      </c>
      <c r="Q53" s="8">
        <v>866.8</v>
      </c>
      <c r="R53" s="8">
        <v>506.1</v>
      </c>
      <c r="S53" s="8">
        <v>647.29999999999995</v>
      </c>
      <c r="T53" s="8">
        <v>663.7</v>
      </c>
      <c r="U53" s="8">
        <v>477.6</v>
      </c>
      <c r="V53" s="8">
        <v>4779.8999999999996</v>
      </c>
    </row>
    <row r="54" spans="1:22" x14ac:dyDescent="0.15">
      <c r="A54" s="9">
        <v>31352</v>
      </c>
      <c r="B54" s="8">
        <v>1667.3</v>
      </c>
      <c r="C54" s="8">
        <v>973.2</v>
      </c>
      <c r="D54" s="8">
        <v>557.29999999999995</v>
      </c>
      <c r="E54" s="8">
        <v>697.1</v>
      </c>
      <c r="F54" s="8">
        <v>704.6</v>
      </c>
      <c r="G54" s="8">
        <v>505.6</v>
      </c>
      <c r="H54" s="8">
        <v>5105</v>
      </c>
      <c r="I54" s="8">
        <v>1623.2</v>
      </c>
      <c r="J54" s="8">
        <v>890.5</v>
      </c>
      <c r="K54" s="8">
        <v>519.29999999999995</v>
      </c>
      <c r="L54" s="8">
        <v>644</v>
      </c>
      <c r="M54" s="8">
        <v>669.9</v>
      </c>
      <c r="N54" s="8">
        <v>484.4</v>
      </c>
      <c r="O54" s="8">
        <v>4831.2</v>
      </c>
      <c r="P54" s="8">
        <v>1630.4</v>
      </c>
      <c r="Q54" s="8">
        <v>875.4</v>
      </c>
      <c r="R54" s="8">
        <v>507.9</v>
      </c>
      <c r="S54" s="8">
        <v>648.70000000000005</v>
      </c>
      <c r="T54" s="8">
        <v>669.6</v>
      </c>
      <c r="U54" s="8">
        <v>483.1</v>
      </c>
      <c r="V54" s="8">
        <v>4814.7</v>
      </c>
    </row>
    <row r="55" spans="1:22" x14ac:dyDescent="0.15">
      <c r="A55" s="9">
        <v>31382</v>
      </c>
      <c r="B55" s="8">
        <v>1867.3</v>
      </c>
      <c r="C55" s="8">
        <v>1351.7</v>
      </c>
      <c r="D55" s="8">
        <v>749.7</v>
      </c>
      <c r="E55" s="8">
        <v>1187.5</v>
      </c>
      <c r="F55" s="8">
        <v>908.1</v>
      </c>
      <c r="G55" s="8">
        <v>563.9</v>
      </c>
      <c r="H55" s="8">
        <v>6628.2</v>
      </c>
      <c r="I55" s="8">
        <v>1647.5</v>
      </c>
      <c r="J55" s="8">
        <v>895.3</v>
      </c>
      <c r="K55" s="8">
        <v>515.4</v>
      </c>
      <c r="L55" s="8">
        <v>651.5</v>
      </c>
      <c r="M55" s="8">
        <v>681.2</v>
      </c>
      <c r="N55" s="8">
        <v>486.1</v>
      </c>
      <c r="O55" s="8">
        <v>4877.1000000000004</v>
      </c>
      <c r="P55" s="8">
        <v>1641.7</v>
      </c>
      <c r="Q55" s="8">
        <v>877.9</v>
      </c>
      <c r="R55" s="8">
        <v>507.3</v>
      </c>
      <c r="S55" s="8">
        <v>649.20000000000005</v>
      </c>
      <c r="T55" s="8">
        <v>675.9</v>
      </c>
      <c r="U55" s="8">
        <v>487.3</v>
      </c>
      <c r="V55" s="8">
        <v>4839.5</v>
      </c>
    </row>
    <row r="56" spans="1:22" x14ac:dyDescent="0.15">
      <c r="A56" s="9">
        <v>31413</v>
      </c>
      <c r="B56" s="8">
        <v>1674.4</v>
      </c>
      <c r="C56" s="8">
        <v>812.6</v>
      </c>
      <c r="D56" s="8">
        <v>447</v>
      </c>
      <c r="E56" s="8">
        <v>570.5</v>
      </c>
      <c r="F56" s="8">
        <v>666.1</v>
      </c>
      <c r="G56" s="8">
        <v>504.3</v>
      </c>
      <c r="H56" s="8">
        <v>4674.8999999999996</v>
      </c>
      <c r="I56" s="8">
        <v>1652.7</v>
      </c>
      <c r="J56" s="8">
        <v>870.4</v>
      </c>
      <c r="K56" s="8">
        <v>498.6</v>
      </c>
      <c r="L56" s="8">
        <v>664</v>
      </c>
      <c r="M56" s="8">
        <v>681.7</v>
      </c>
      <c r="N56" s="8">
        <v>493.5</v>
      </c>
      <c r="O56" s="8">
        <v>4860.8999999999996</v>
      </c>
      <c r="P56" s="8">
        <v>1655</v>
      </c>
      <c r="Q56" s="8">
        <v>878.7</v>
      </c>
      <c r="R56" s="8">
        <v>504.9</v>
      </c>
      <c r="S56" s="8">
        <v>648.4</v>
      </c>
      <c r="T56" s="8">
        <v>681.1</v>
      </c>
      <c r="U56" s="8">
        <v>491.6</v>
      </c>
      <c r="V56" s="8">
        <v>4860.3999999999996</v>
      </c>
    </row>
    <row r="57" spans="1:22" x14ac:dyDescent="0.15">
      <c r="A57" s="9">
        <v>31444</v>
      </c>
      <c r="B57" s="8">
        <v>1558.5</v>
      </c>
      <c r="C57" s="8">
        <v>763.6</v>
      </c>
      <c r="D57" s="8">
        <v>399.4</v>
      </c>
      <c r="E57" s="8">
        <v>478.2</v>
      </c>
      <c r="F57" s="8">
        <v>641.5</v>
      </c>
      <c r="G57" s="8">
        <v>452.9</v>
      </c>
      <c r="H57" s="8">
        <v>4294.1000000000004</v>
      </c>
      <c r="I57" s="8">
        <v>1667</v>
      </c>
      <c r="J57" s="8">
        <v>874.8</v>
      </c>
      <c r="K57" s="8">
        <v>505.7</v>
      </c>
      <c r="L57" s="8">
        <v>647.4</v>
      </c>
      <c r="M57" s="8">
        <v>692.1</v>
      </c>
      <c r="N57" s="8">
        <v>492.8</v>
      </c>
      <c r="O57" s="8">
        <v>4879.8</v>
      </c>
      <c r="P57" s="8">
        <v>1668.5</v>
      </c>
      <c r="Q57" s="8">
        <v>881.1</v>
      </c>
      <c r="R57" s="8">
        <v>503.7</v>
      </c>
      <c r="S57" s="8">
        <v>648</v>
      </c>
      <c r="T57" s="8">
        <v>686.9</v>
      </c>
      <c r="U57" s="8">
        <v>497.2</v>
      </c>
      <c r="V57" s="8">
        <v>4884.8999999999996</v>
      </c>
    </row>
    <row r="58" spans="1:22" x14ac:dyDescent="0.15">
      <c r="A58" s="9">
        <v>31472</v>
      </c>
      <c r="B58" s="8">
        <v>1676.6</v>
      </c>
      <c r="C58" s="8">
        <v>768</v>
      </c>
      <c r="D58" s="8">
        <v>419.6</v>
      </c>
      <c r="E58" s="8">
        <v>547.4</v>
      </c>
      <c r="F58" s="8">
        <v>636.20000000000005</v>
      </c>
      <c r="G58" s="8">
        <v>480.3</v>
      </c>
      <c r="H58" s="8">
        <v>4528</v>
      </c>
      <c r="I58" s="8">
        <v>1679.1</v>
      </c>
      <c r="J58" s="8">
        <v>862.4</v>
      </c>
      <c r="K58" s="8">
        <v>479.8</v>
      </c>
      <c r="L58" s="8">
        <v>625.29999999999995</v>
      </c>
      <c r="M58" s="8">
        <v>679.4</v>
      </c>
      <c r="N58" s="8">
        <v>500.5</v>
      </c>
      <c r="O58" s="8">
        <v>4826.5</v>
      </c>
      <c r="P58" s="8">
        <v>1684</v>
      </c>
      <c r="Q58" s="8">
        <v>885.2</v>
      </c>
      <c r="R58" s="8">
        <v>504.2</v>
      </c>
      <c r="S58" s="8">
        <v>649.1</v>
      </c>
      <c r="T58" s="8">
        <v>692.9</v>
      </c>
      <c r="U58" s="8">
        <v>504.2</v>
      </c>
      <c r="V58" s="8">
        <v>4919.1000000000004</v>
      </c>
    </row>
    <row r="59" spans="1:22" x14ac:dyDescent="0.15">
      <c r="A59" s="9">
        <v>31503</v>
      </c>
      <c r="B59" s="8">
        <v>1643.7</v>
      </c>
      <c r="C59" s="8">
        <v>827</v>
      </c>
      <c r="D59" s="8">
        <v>504.5</v>
      </c>
      <c r="E59" s="8">
        <v>594.29999999999995</v>
      </c>
      <c r="F59" s="8">
        <v>662.4</v>
      </c>
      <c r="G59" s="8">
        <v>497.2</v>
      </c>
      <c r="H59" s="8">
        <v>4729</v>
      </c>
      <c r="I59" s="8">
        <v>1695</v>
      </c>
      <c r="J59" s="8">
        <v>898</v>
      </c>
      <c r="K59" s="8">
        <v>511.2</v>
      </c>
      <c r="L59" s="8">
        <v>643.29999999999995</v>
      </c>
      <c r="M59" s="8">
        <v>701.3</v>
      </c>
      <c r="N59" s="8">
        <v>511.7</v>
      </c>
      <c r="O59" s="8">
        <v>4960.5</v>
      </c>
      <c r="P59" s="8">
        <v>1701.8</v>
      </c>
      <c r="Q59" s="8">
        <v>893.8</v>
      </c>
      <c r="R59" s="8">
        <v>507.9</v>
      </c>
      <c r="S59" s="8">
        <v>653.29999999999995</v>
      </c>
      <c r="T59" s="8">
        <v>698.5</v>
      </c>
      <c r="U59" s="8">
        <v>511.7</v>
      </c>
      <c r="V59" s="8">
        <v>4967.1000000000004</v>
      </c>
    </row>
    <row r="60" spans="1:22" x14ac:dyDescent="0.15">
      <c r="A60" s="9">
        <v>31533</v>
      </c>
      <c r="B60" s="8">
        <v>1746.5</v>
      </c>
      <c r="C60" s="8">
        <v>935.1</v>
      </c>
      <c r="D60" s="8">
        <v>588.20000000000005</v>
      </c>
      <c r="E60" s="8">
        <v>751.6</v>
      </c>
      <c r="F60" s="8">
        <v>709.8</v>
      </c>
      <c r="G60" s="8">
        <v>530.79999999999995</v>
      </c>
      <c r="H60" s="8">
        <v>5261.9</v>
      </c>
      <c r="I60" s="8">
        <v>1724.6</v>
      </c>
      <c r="J60" s="8">
        <v>918.1</v>
      </c>
      <c r="K60" s="8">
        <v>534</v>
      </c>
      <c r="L60" s="8">
        <v>704.7</v>
      </c>
      <c r="M60" s="8">
        <v>708.4</v>
      </c>
      <c r="N60" s="8">
        <v>528.20000000000005</v>
      </c>
      <c r="O60" s="8">
        <v>5118</v>
      </c>
      <c r="P60" s="8">
        <v>1720.6</v>
      </c>
      <c r="Q60" s="8">
        <v>905</v>
      </c>
      <c r="R60" s="8">
        <v>514.29999999999995</v>
      </c>
      <c r="S60" s="8">
        <v>661.1</v>
      </c>
      <c r="T60" s="8">
        <v>703.8</v>
      </c>
      <c r="U60" s="8">
        <v>519.5</v>
      </c>
      <c r="V60" s="8">
        <v>5024.2</v>
      </c>
    </row>
    <row r="61" spans="1:22" x14ac:dyDescent="0.15">
      <c r="A61" s="9">
        <v>31564</v>
      </c>
      <c r="B61" s="8">
        <v>1638.5</v>
      </c>
      <c r="C61" s="8">
        <v>833.6</v>
      </c>
      <c r="D61" s="8">
        <v>485.7</v>
      </c>
      <c r="E61" s="8">
        <v>553.4</v>
      </c>
      <c r="F61" s="8">
        <v>641.79999999999995</v>
      </c>
      <c r="G61" s="8">
        <v>484.8</v>
      </c>
      <c r="H61" s="8">
        <v>4637.8</v>
      </c>
      <c r="I61" s="8">
        <v>1751.2</v>
      </c>
      <c r="J61" s="8">
        <v>922.9</v>
      </c>
      <c r="K61" s="8">
        <v>518</v>
      </c>
      <c r="L61" s="8">
        <v>631.9</v>
      </c>
      <c r="M61" s="8">
        <v>712.4</v>
      </c>
      <c r="N61" s="8">
        <v>524.5</v>
      </c>
      <c r="O61" s="8">
        <v>5060.8999999999996</v>
      </c>
      <c r="P61" s="8">
        <v>1736.4</v>
      </c>
      <c r="Q61" s="8">
        <v>917.2</v>
      </c>
      <c r="R61" s="8">
        <v>518.9</v>
      </c>
      <c r="S61" s="8">
        <v>670.3</v>
      </c>
      <c r="T61" s="8">
        <v>710.3</v>
      </c>
      <c r="U61" s="8">
        <v>528.5</v>
      </c>
      <c r="V61" s="8">
        <v>5080.1000000000004</v>
      </c>
    </row>
    <row r="62" spans="1:22" x14ac:dyDescent="0.15">
      <c r="A62" s="9">
        <v>31594</v>
      </c>
      <c r="B62" s="8">
        <v>1721.8</v>
      </c>
      <c r="C62" s="8">
        <v>878.2</v>
      </c>
      <c r="D62" s="8">
        <v>507.2</v>
      </c>
      <c r="E62" s="8">
        <v>663.2</v>
      </c>
      <c r="F62" s="8">
        <v>692.9</v>
      </c>
      <c r="G62" s="8">
        <v>526.29999999999995</v>
      </c>
      <c r="H62" s="8">
        <v>4989.5</v>
      </c>
      <c r="I62" s="8">
        <v>1743.4</v>
      </c>
      <c r="J62" s="8">
        <v>907.7</v>
      </c>
      <c r="K62" s="8">
        <v>512</v>
      </c>
      <c r="L62" s="8">
        <v>689.7</v>
      </c>
      <c r="M62" s="8">
        <v>711.8</v>
      </c>
      <c r="N62" s="8">
        <v>531</v>
      </c>
      <c r="O62" s="8">
        <v>5095.5</v>
      </c>
      <c r="P62" s="8">
        <v>1749.5</v>
      </c>
      <c r="Q62" s="8">
        <v>922.3</v>
      </c>
      <c r="R62" s="8">
        <v>522.20000000000005</v>
      </c>
      <c r="S62" s="8">
        <v>678.8</v>
      </c>
      <c r="T62" s="8">
        <v>716.4</v>
      </c>
      <c r="U62" s="8">
        <v>535.5</v>
      </c>
      <c r="V62" s="8">
        <v>5125.6000000000004</v>
      </c>
    </row>
    <row r="63" spans="1:22" x14ac:dyDescent="0.15">
      <c r="A63" s="9">
        <v>31625</v>
      </c>
      <c r="B63" s="8">
        <v>1720.9</v>
      </c>
      <c r="C63" s="8">
        <v>898.1</v>
      </c>
      <c r="D63" s="8">
        <v>484.5</v>
      </c>
      <c r="E63" s="8">
        <v>581.1</v>
      </c>
      <c r="F63" s="8">
        <v>700.8</v>
      </c>
      <c r="G63" s="8">
        <v>538.4</v>
      </c>
      <c r="H63" s="8">
        <v>4923.8</v>
      </c>
      <c r="I63" s="8">
        <v>1758</v>
      </c>
      <c r="J63" s="8">
        <v>945.5</v>
      </c>
      <c r="K63" s="8">
        <v>531.20000000000005</v>
      </c>
      <c r="L63" s="8">
        <v>688.4</v>
      </c>
      <c r="M63" s="8">
        <v>723.3</v>
      </c>
      <c r="N63" s="8">
        <v>548.70000000000005</v>
      </c>
      <c r="O63" s="8">
        <v>5195</v>
      </c>
      <c r="P63" s="8">
        <v>1757.6</v>
      </c>
      <c r="Q63" s="8">
        <v>924.2</v>
      </c>
      <c r="R63" s="8">
        <v>524.29999999999995</v>
      </c>
      <c r="S63" s="8">
        <v>685.1</v>
      </c>
      <c r="T63" s="8">
        <v>721.9</v>
      </c>
      <c r="U63" s="8">
        <v>542.20000000000005</v>
      </c>
      <c r="V63" s="8">
        <v>5156.7</v>
      </c>
    </row>
    <row r="64" spans="1:22" x14ac:dyDescent="0.15">
      <c r="A64" s="9">
        <v>31656</v>
      </c>
      <c r="B64" s="8">
        <v>1705.7</v>
      </c>
      <c r="C64" s="8">
        <v>862.3</v>
      </c>
      <c r="D64" s="8">
        <v>496.9</v>
      </c>
      <c r="E64" s="8">
        <v>661.9</v>
      </c>
      <c r="F64" s="8">
        <v>698.1</v>
      </c>
      <c r="G64" s="8">
        <v>537.4</v>
      </c>
      <c r="H64" s="8">
        <v>4962.2</v>
      </c>
      <c r="I64" s="8">
        <v>1769.9</v>
      </c>
      <c r="J64" s="8">
        <v>918</v>
      </c>
      <c r="K64" s="8">
        <v>523</v>
      </c>
      <c r="L64" s="8">
        <v>705.4</v>
      </c>
      <c r="M64" s="8">
        <v>725.8</v>
      </c>
      <c r="N64" s="8">
        <v>546.20000000000005</v>
      </c>
      <c r="O64" s="8">
        <v>5188.3</v>
      </c>
      <c r="P64" s="8">
        <v>1765.5</v>
      </c>
      <c r="Q64" s="8">
        <v>923.3</v>
      </c>
      <c r="R64" s="8">
        <v>525.20000000000005</v>
      </c>
      <c r="S64" s="8">
        <v>688.7</v>
      </c>
      <c r="T64" s="8">
        <v>727.5</v>
      </c>
      <c r="U64" s="8">
        <v>546.70000000000005</v>
      </c>
      <c r="V64" s="8">
        <v>5177.8</v>
      </c>
    </row>
    <row r="65" spans="1:22" x14ac:dyDescent="0.15">
      <c r="A65" s="9">
        <v>31686</v>
      </c>
      <c r="B65" s="8">
        <v>1816.4</v>
      </c>
      <c r="C65" s="8">
        <v>950.6</v>
      </c>
      <c r="D65" s="8">
        <v>545.5</v>
      </c>
      <c r="E65" s="8">
        <v>665.6</v>
      </c>
      <c r="F65" s="8">
        <v>756.7</v>
      </c>
      <c r="G65" s="8">
        <v>570.4</v>
      </c>
      <c r="H65" s="8">
        <v>5305.1</v>
      </c>
      <c r="I65" s="8">
        <v>1763.7</v>
      </c>
      <c r="J65" s="8">
        <v>918.4</v>
      </c>
      <c r="K65" s="8">
        <v>522.20000000000005</v>
      </c>
      <c r="L65" s="8">
        <v>684.6</v>
      </c>
      <c r="M65" s="8">
        <v>737.5</v>
      </c>
      <c r="N65" s="8">
        <v>550.9</v>
      </c>
      <c r="O65" s="8">
        <v>5177.3</v>
      </c>
      <c r="P65" s="8">
        <v>1772.6</v>
      </c>
      <c r="Q65" s="8">
        <v>922.4</v>
      </c>
      <c r="R65" s="8">
        <v>525.6</v>
      </c>
      <c r="S65" s="8">
        <v>691.6</v>
      </c>
      <c r="T65" s="8">
        <v>733.2</v>
      </c>
      <c r="U65" s="8">
        <v>551.6</v>
      </c>
      <c r="V65" s="8">
        <v>5196.8</v>
      </c>
    </row>
    <row r="66" spans="1:22" x14ac:dyDescent="0.15">
      <c r="A66" s="9">
        <v>31717</v>
      </c>
      <c r="B66" s="8">
        <v>1774.7</v>
      </c>
      <c r="C66" s="8">
        <v>968.2</v>
      </c>
      <c r="D66" s="8">
        <v>545.79999999999995</v>
      </c>
      <c r="E66" s="8">
        <v>700.9</v>
      </c>
      <c r="F66" s="8">
        <v>750.1</v>
      </c>
      <c r="G66" s="8">
        <v>563.79999999999995</v>
      </c>
      <c r="H66" s="8">
        <v>5303.5</v>
      </c>
      <c r="I66" s="8">
        <v>1787.8</v>
      </c>
      <c r="J66" s="8">
        <v>920.1</v>
      </c>
      <c r="K66" s="8">
        <v>530.20000000000005</v>
      </c>
      <c r="L66" s="8">
        <v>669.2</v>
      </c>
      <c r="M66" s="8">
        <v>736.6</v>
      </c>
      <c r="N66" s="8">
        <v>555.1</v>
      </c>
      <c r="O66" s="8">
        <v>5199</v>
      </c>
      <c r="P66" s="8">
        <v>1782.9</v>
      </c>
      <c r="Q66" s="8">
        <v>922.1</v>
      </c>
      <c r="R66" s="8">
        <v>526.6</v>
      </c>
      <c r="S66" s="8">
        <v>695</v>
      </c>
      <c r="T66" s="8">
        <v>738.3</v>
      </c>
      <c r="U66" s="8">
        <v>556.29999999999995</v>
      </c>
      <c r="V66" s="8">
        <v>5220.3</v>
      </c>
    </row>
    <row r="67" spans="1:22" x14ac:dyDescent="0.15">
      <c r="A67" s="9">
        <v>31747</v>
      </c>
      <c r="B67" s="8">
        <v>2073.6</v>
      </c>
      <c r="C67" s="8">
        <v>1414</v>
      </c>
      <c r="D67" s="8">
        <v>804.4</v>
      </c>
      <c r="E67" s="8">
        <v>1367.9</v>
      </c>
      <c r="F67" s="8">
        <v>1017</v>
      </c>
      <c r="G67" s="8">
        <v>663.2</v>
      </c>
      <c r="H67" s="8">
        <v>7340</v>
      </c>
      <c r="I67" s="8">
        <v>1783.1</v>
      </c>
      <c r="J67" s="8">
        <v>917.2</v>
      </c>
      <c r="K67" s="8">
        <v>536.20000000000005</v>
      </c>
      <c r="L67" s="8">
        <v>715.3</v>
      </c>
      <c r="M67" s="8">
        <v>741.7</v>
      </c>
      <c r="N67" s="8">
        <v>559.4</v>
      </c>
      <c r="O67" s="8">
        <v>5252.8</v>
      </c>
      <c r="P67" s="8">
        <v>1794.7</v>
      </c>
      <c r="Q67" s="8">
        <v>923.1</v>
      </c>
      <c r="R67" s="8">
        <v>528.29999999999995</v>
      </c>
      <c r="S67" s="8">
        <v>698.3</v>
      </c>
      <c r="T67" s="8">
        <v>744.1</v>
      </c>
      <c r="U67" s="8">
        <v>559.79999999999995</v>
      </c>
      <c r="V67" s="8">
        <v>5247.4</v>
      </c>
    </row>
    <row r="68" spans="1:22" x14ac:dyDescent="0.15">
      <c r="A68" s="9">
        <v>31778</v>
      </c>
      <c r="B68" s="8">
        <v>1830.7</v>
      </c>
      <c r="C68" s="8">
        <v>861.1</v>
      </c>
      <c r="D68" s="8">
        <v>461.1</v>
      </c>
      <c r="E68" s="8">
        <v>613.9</v>
      </c>
      <c r="F68" s="8">
        <v>726.9</v>
      </c>
      <c r="G68" s="8">
        <v>571.6</v>
      </c>
      <c r="H68" s="8">
        <v>5065.3</v>
      </c>
      <c r="I68" s="8">
        <v>1807.7</v>
      </c>
      <c r="J68" s="8">
        <v>928.8</v>
      </c>
      <c r="K68" s="8">
        <v>518.70000000000005</v>
      </c>
      <c r="L68" s="8">
        <v>705.4</v>
      </c>
      <c r="M68" s="8">
        <v>753.1</v>
      </c>
      <c r="N68" s="8">
        <v>563.20000000000005</v>
      </c>
      <c r="O68" s="8">
        <v>5277</v>
      </c>
      <c r="P68" s="8">
        <v>1807.6</v>
      </c>
      <c r="Q68" s="8">
        <v>925.2</v>
      </c>
      <c r="R68" s="8">
        <v>528</v>
      </c>
      <c r="S68" s="8">
        <v>700.4</v>
      </c>
      <c r="T68" s="8">
        <v>751</v>
      </c>
      <c r="U68" s="8">
        <v>562.6</v>
      </c>
      <c r="V68" s="8">
        <v>5275.2</v>
      </c>
    </row>
    <row r="69" spans="1:22" x14ac:dyDescent="0.15">
      <c r="A69" s="9">
        <v>31809</v>
      </c>
      <c r="B69" s="8">
        <v>1710.1</v>
      </c>
      <c r="C69" s="8">
        <v>812.5</v>
      </c>
      <c r="D69" s="8">
        <v>417.6</v>
      </c>
      <c r="E69" s="8">
        <v>513.20000000000005</v>
      </c>
      <c r="F69" s="8">
        <v>701.3</v>
      </c>
      <c r="G69" s="8">
        <v>525.1</v>
      </c>
      <c r="H69" s="8">
        <v>4679.8</v>
      </c>
      <c r="I69" s="8">
        <v>1831.1</v>
      </c>
      <c r="J69" s="8">
        <v>930.8</v>
      </c>
      <c r="K69" s="8">
        <v>528.4</v>
      </c>
      <c r="L69" s="8">
        <v>702.2</v>
      </c>
      <c r="M69" s="8">
        <v>759.7</v>
      </c>
      <c r="N69" s="8">
        <v>570.9</v>
      </c>
      <c r="O69" s="8">
        <v>5323.2</v>
      </c>
      <c r="P69" s="8">
        <v>1818.2</v>
      </c>
      <c r="Q69" s="8">
        <v>928.7</v>
      </c>
      <c r="R69" s="8">
        <v>530.5</v>
      </c>
      <c r="S69" s="8">
        <v>704</v>
      </c>
      <c r="T69" s="8">
        <v>758.4</v>
      </c>
      <c r="U69" s="8">
        <v>566.1</v>
      </c>
      <c r="V69" s="8">
        <v>5306.3</v>
      </c>
    </row>
    <row r="70" spans="1:22" x14ac:dyDescent="0.15">
      <c r="A70" s="9">
        <v>31837</v>
      </c>
      <c r="B70" s="8">
        <v>1791</v>
      </c>
      <c r="C70" s="8">
        <v>862.3</v>
      </c>
      <c r="D70" s="8">
        <v>479.3</v>
      </c>
      <c r="E70" s="8">
        <v>599.9</v>
      </c>
      <c r="F70" s="8">
        <v>716.8</v>
      </c>
      <c r="G70" s="8">
        <v>543.6</v>
      </c>
      <c r="H70" s="8">
        <v>4993</v>
      </c>
      <c r="I70" s="8">
        <v>1834</v>
      </c>
      <c r="J70" s="8">
        <v>939.3</v>
      </c>
      <c r="K70" s="8">
        <v>538.4</v>
      </c>
      <c r="L70" s="8">
        <v>711.3</v>
      </c>
      <c r="M70" s="8">
        <v>757</v>
      </c>
      <c r="N70" s="8">
        <v>564</v>
      </c>
      <c r="O70" s="8">
        <v>5344</v>
      </c>
      <c r="P70" s="8">
        <v>1829.5</v>
      </c>
      <c r="Q70" s="8">
        <v>934.1</v>
      </c>
      <c r="R70" s="8">
        <v>535.29999999999995</v>
      </c>
      <c r="S70" s="8">
        <v>708.9</v>
      </c>
      <c r="T70" s="8">
        <v>766.1</v>
      </c>
      <c r="U70" s="8">
        <v>568.20000000000005</v>
      </c>
      <c r="V70" s="8">
        <v>5341.5</v>
      </c>
    </row>
    <row r="71" spans="1:22" x14ac:dyDescent="0.15">
      <c r="A71" s="9">
        <v>31868</v>
      </c>
      <c r="B71" s="8">
        <v>1824.4</v>
      </c>
      <c r="C71" s="8">
        <v>846.8</v>
      </c>
      <c r="D71" s="8">
        <v>528.6</v>
      </c>
      <c r="E71" s="8">
        <v>674.1</v>
      </c>
      <c r="F71" s="8">
        <v>733.9</v>
      </c>
      <c r="G71" s="8">
        <v>558.1</v>
      </c>
      <c r="H71" s="8">
        <v>5166</v>
      </c>
      <c r="I71" s="8">
        <v>1828.2</v>
      </c>
      <c r="J71" s="8">
        <v>937</v>
      </c>
      <c r="K71" s="8">
        <v>539.4</v>
      </c>
      <c r="L71" s="8">
        <v>707.8</v>
      </c>
      <c r="M71" s="8">
        <v>782.7</v>
      </c>
      <c r="N71" s="8">
        <v>571.5</v>
      </c>
      <c r="O71" s="8">
        <v>5366.6</v>
      </c>
      <c r="P71" s="8">
        <v>1837.9</v>
      </c>
      <c r="Q71" s="8">
        <v>939</v>
      </c>
      <c r="R71" s="8">
        <v>541.6</v>
      </c>
      <c r="S71" s="8">
        <v>714.6</v>
      </c>
      <c r="T71" s="8">
        <v>774.2</v>
      </c>
      <c r="U71" s="8">
        <v>571.79999999999995</v>
      </c>
      <c r="V71" s="8">
        <v>5380.2</v>
      </c>
    </row>
    <row r="72" spans="1:22" x14ac:dyDescent="0.15">
      <c r="A72" s="9">
        <v>31898</v>
      </c>
      <c r="B72" s="8">
        <v>1823.3</v>
      </c>
      <c r="C72" s="8">
        <v>933.6</v>
      </c>
      <c r="D72" s="8">
        <v>585.4</v>
      </c>
      <c r="E72" s="8">
        <v>714</v>
      </c>
      <c r="F72" s="8">
        <v>764.8</v>
      </c>
      <c r="G72" s="8">
        <v>565.1</v>
      </c>
      <c r="H72" s="8">
        <v>5386.3</v>
      </c>
      <c r="I72" s="8">
        <v>1848.5</v>
      </c>
      <c r="J72" s="8">
        <v>944.9</v>
      </c>
      <c r="K72" s="8">
        <v>552.6</v>
      </c>
      <c r="L72" s="8">
        <v>709.4</v>
      </c>
      <c r="M72" s="8">
        <v>781.6</v>
      </c>
      <c r="N72" s="8">
        <v>576</v>
      </c>
      <c r="O72" s="8">
        <v>5413</v>
      </c>
      <c r="P72" s="8">
        <v>1846.3</v>
      </c>
      <c r="Q72" s="8">
        <v>948.2</v>
      </c>
      <c r="R72" s="8">
        <v>550.79999999999995</v>
      </c>
      <c r="S72" s="8">
        <v>720.2</v>
      </c>
      <c r="T72" s="8">
        <v>782.7</v>
      </c>
      <c r="U72" s="8">
        <v>576.70000000000005</v>
      </c>
      <c r="V72" s="8">
        <v>5423.8</v>
      </c>
    </row>
    <row r="73" spans="1:22" x14ac:dyDescent="0.15">
      <c r="A73" s="9">
        <v>31929</v>
      </c>
      <c r="B73" s="8">
        <v>1761.9</v>
      </c>
      <c r="C73" s="8">
        <v>886.2</v>
      </c>
      <c r="D73" s="8">
        <v>529.5</v>
      </c>
      <c r="E73" s="8">
        <v>670.5</v>
      </c>
      <c r="F73" s="8">
        <v>728.4</v>
      </c>
      <c r="G73" s="8">
        <v>542.29999999999995</v>
      </c>
      <c r="H73" s="8">
        <v>5118.8999999999996</v>
      </c>
      <c r="I73" s="8">
        <v>1854.7</v>
      </c>
      <c r="J73" s="8">
        <v>951.2</v>
      </c>
      <c r="K73" s="8">
        <v>551.4</v>
      </c>
      <c r="L73" s="8">
        <v>722.5</v>
      </c>
      <c r="M73" s="8">
        <v>789.1</v>
      </c>
      <c r="N73" s="8">
        <v>576.5</v>
      </c>
      <c r="O73" s="8">
        <v>5445.4</v>
      </c>
      <c r="P73" s="8">
        <v>1853.3</v>
      </c>
      <c r="Q73" s="8">
        <v>959.3</v>
      </c>
      <c r="R73" s="8">
        <v>560</v>
      </c>
      <c r="S73" s="8">
        <v>724.9</v>
      </c>
      <c r="T73" s="8">
        <v>789.5</v>
      </c>
      <c r="U73" s="8">
        <v>582.79999999999995</v>
      </c>
      <c r="V73" s="8">
        <v>5470.8</v>
      </c>
    </row>
    <row r="74" spans="1:22" x14ac:dyDescent="0.15">
      <c r="A74" s="9">
        <v>31959</v>
      </c>
      <c r="B74" s="8">
        <v>1856.9</v>
      </c>
      <c r="C74" s="8">
        <v>958.9</v>
      </c>
      <c r="D74" s="8">
        <v>579.70000000000005</v>
      </c>
      <c r="E74" s="8">
        <v>720.9</v>
      </c>
      <c r="F74" s="8">
        <v>779.7</v>
      </c>
      <c r="G74" s="8">
        <v>598.6</v>
      </c>
      <c r="H74" s="8">
        <v>5494.6</v>
      </c>
      <c r="I74" s="8">
        <v>1851.3</v>
      </c>
      <c r="J74" s="8">
        <v>976.5</v>
      </c>
      <c r="K74" s="8">
        <v>575.1</v>
      </c>
      <c r="L74" s="8">
        <v>760.3</v>
      </c>
      <c r="M74" s="8">
        <v>792.2</v>
      </c>
      <c r="N74" s="8">
        <v>598.4</v>
      </c>
      <c r="O74" s="8">
        <v>5553.8</v>
      </c>
      <c r="P74" s="8">
        <v>1860.5</v>
      </c>
      <c r="Q74" s="8">
        <v>976.8</v>
      </c>
      <c r="R74" s="8">
        <v>568.9</v>
      </c>
      <c r="S74" s="8">
        <v>727.2</v>
      </c>
      <c r="T74" s="8">
        <v>794.9</v>
      </c>
      <c r="U74" s="8">
        <v>590.70000000000005</v>
      </c>
      <c r="V74" s="8">
        <v>5519.7</v>
      </c>
    </row>
    <row r="75" spans="1:22" x14ac:dyDescent="0.15">
      <c r="A75" s="9">
        <v>31990</v>
      </c>
      <c r="B75" s="8">
        <v>1821</v>
      </c>
      <c r="C75" s="8">
        <v>938.2</v>
      </c>
      <c r="D75" s="8">
        <v>518.6</v>
      </c>
      <c r="E75" s="8">
        <v>601.6</v>
      </c>
      <c r="F75" s="8">
        <v>773.7</v>
      </c>
      <c r="G75" s="8">
        <v>583.70000000000005</v>
      </c>
      <c r="H75" s="8">
        <v>5236.7</v>
      </c>
      <c r="I75" s="8">
        <v>1881.9</v>
      </c>
      <c r="J75" s="8">
        <v>998.4</v>
      </c>
      <c r="K75" s="8">
        <v>574.9</v>
      </c>
      <c r="L75" s="8">
        <v>723.8</v>
      </c>
      <c r="M75" s="8">
        <v>804.3</v>
      </c>
      <c r="N75" s="8">
        <v>598.4</v>
      </c>
      <c r="O75" s="8">
        <v>5581.7</v>
      </c>
      <c r="P75" s="8">
        <v>1874.1</v>
      </c>
      <c r="Q75" s="8">
        <v>993.3</v>
      </c>
      <c r="R75" s="8">
        <v>573.9</v>
      </c>
      <c r="S75" s="8">
        <v>727</v>
      </c>
      <c r="T75" s="8">
        <v>799.5</v>
      </c>
      <c r="U75" s="8">
        <v>597</v>
      </c>
      <c r="V75" s="8">
        <v>5564.9</v>
      </c>
    </row>
    <row r="76" spans="1:22" x14ac:dyDescent="0.15">
      <c r="A76" s="9">
        <v>32021</v>
      </c>
      <c r="B76" s="8">
        <v>1830</v>
      </c>
      <c r="C76" s="8">
        <v>953</v>
      </c>
      <c r="D76" s="8">
        <v>563.1</v>
      </c>
      <c r="E76" s="8">
        <v>672.3</v>
      </c>
      <c r="F76" s="8">
        <v>783.9</v>
      </c>
      <c r="G76" s="8">
        <v>592.70000000000005</v>
      </c>
      <c r="H76" s="8">
        <v>5395.1</v>
      </c>
      <c r="I76" s="8">
        <v>1883.6</v>
      </c>
      <c r="J76" s="8">
        <v>1008.3</v>
      </c>
      <c r="K76" s="8">
        <v>586</v>
      </c>
      <c r="L76" s="8">
        <v>713.6</v>
      </c>
      <c r="M76" s="8">
        <v>804.1</v>
      </c>
      <c r="N76" s="8">
        <v>599.6</v>
      </c>
      <c r="O76" s="8">
        <v>5595.2</v>
      </c>
      <c r="P76" s="8">
        <v>1886</v>
      </c>
      <c r="Q76" s="8">
        <v>1009.4</v>
      </c>
      <c r="R76" s="8">
        <v>576</v>
      </c>
      <c r="S76" s="8">
        <v>726</v>
      </c>
      <c r="T76" s="8">
        <v>802.5</v>
      </c>
      <c r="U76" s="8">
        <v>603.29999999999995</v>
      </c>
      <c r="V76" s="8">
        <v>5601.9</v>
      </c>
    </row>
    <row r="77" spans="1:22" x14ac:dyDescent="0.15">
      <c r="A77" s="9">
        <v>32051</v>
      </c>
      <c r="B77" s="8">
        <v>1942.4</v>
      </c>
      <c r="C77" s="8">
        <v>1058.8</v>
      </c>
      <c r="D77" s="8">
        <v>596.6</v>
      </c>
      <c r="E77" s="8">
        <v>709.1</v>
      </c>
      <c r="F77" s="8">
        <v>814.1</v>
      </c>
      <c r="G77" s="8">
        <v>623.29999999999995</v>
      </c>
      <c r="H77" s="8">
        <v>5744.4</v>
      </c>
      <c r="I77" s="8">
        <v>1889.2</v>
      </c>
      <c r="J77" s="8">
        <v>1032.3</v>
      </c>
      <c r="K77" s="8">
        <v>577.5</v>
      </c>
      <c r="L77" s="8">
        <v>720.2</v>
      </c>
      <c r="M77" s="8">
        <v>801.1</v>
      </c>
      <c r="N77" s="8">
        <v>605.9</v>
      </c>
      <c r="O77" s="8">
        <v>5626.2</v>
      </c>
      <c r="P77" s="8">
        <v>1896.6</v>
      </c>
      <c r="Q77" s="8">
        <v>1020.8</v>
      </c>
      <c r="R77" s="8">
        <v>575.70000000000005</v>
      </c>
      <c r="S77" s="8">
        <v>725.9</v>
      </c>
      <c r="T77" s="8">
        <v>803.9</v>
      </c>
      <c r="U77" s="8">
        <v>607.20000000000005</v>
      </c>
      <c r="V77" s="8">
        <v>5630</v>
      </c>
    </row>
    <row r="78" spans="1:22" x14ac:dyDescent="0.15">
      <c r="A78" s="9">
        <v>32082</v>
      </c>
      <c r="B78" s="8">
        <v>1885.9</v>
      </c>
      <c r="C78" s="8">
        <v>1084.5999999999999</v>
      </c>
      <c r="D78" s="8">
        <v>587.20000000000005</v>
      </c>
      <c r="E78" s="8">
        <v>743.2</v>
      </c>
      <c r="F78" s="8">
        <v>822</v>
      </c>
      <c r="G78" s="8">
        <v>621.9</v>
      </c>
      <c r="H78" s="8">
        <v>5745</v>
      </c>
      <c r="I78" s="8">
        <v>1915.9</v>
      </c>
      <c r="J78" s="8">
        <v>1030.8</v>
      </c>
      <c r="K78" s="8">
        <v>569.20000000000005</v>
      </c>
      <c r="L78" s="8">
        <v>719.6</v>
      </c>
      <c r="M78" s="8">
        <v>804.6</v>
      </c>
      <c r="N78" s="8">
        <v>612.9</v>
      </c>
      <c r="O78" s="8">
        <v>5652.9</v>
      </c>
      <c r="P78" s="8">
        <v>1905.6</v>
      </c>
      <c r="Q78" s="8">
        <v>1029.5</v>
      </c>
      <c r="R78" s="8">
        <v>574.79999999999995</v>
      </c>
      <c r="S78" s="8">
        <v>728.1</v>
      </c>
      <c r="T78" s="8">
        <v>804.9</v>
      </c>
      <c r="U78" s="8">
        <v>609.29999999999995</v>
      </c>
      <c r="V78" s="8">
        <v>5652.9</v>
      </c>
    </row>
    <row r="79" spans="1:22" x14ac:dyDescent="0.15">
      <c r="A79" s="9">
        <v>32112</v>
      </c>
      <c r="B79" s="8">
        <v>2272.4</v>
      </c>
      <c r="C79" s="8">
        <v>1576.1</v>
      </c>
      <c r="D79" s="8">
        <v>864.5</v>
      </c>
      <c r="E79" s="8">
        <v>1460.1</v>
      </c>
      <c r="F79" s="8">
        <v>1109.5999999999999</v>
      </c>
      <c r="G79" s="8">
        <v>739.8</v>
      </c>
      <c r="H79" s="8">
        <v>8022.4</v>
      </c>
      <c r="I79" s="8">
        <v>1934.9</v>
      </c>
      <c r="J79" s="8">
        <v>1032.8</v>
      </c>
      <c r="K79" s="8">
        <v>570.79999999999995</v>
      </c>
      <c r="L79" s="8">
        <v>738.8</v>
      </c>
      <c r="M79" s="8">
        <v>810.8</v>
      </c>
      <c r="N79" s="8">
        <v>623</v>
      </c>
      <c r="O79" s="8">
        <v>5711.1</v>
      </c>
      <c r="P79" s="8">
        <v>1914.3</v>
      </c>
      <c r="Q79" s="8">
        <v>1037.4000000000001</v>
      </c>
      <c r="R79" s="8">
        <v>577.1</v>
      </c>
      <c r="S79" s="8">
        <v>733.7</v>
      </c>
      <c r="T79" s="8">
        <v>804.5</v>
      </c>
      <c r="U79" s="8">
        <v>610.79999999999995</v>
      </c>
      <c r="V79" s="8">
        <v>5677.6</v>
      </c>
    </row>
    <row r="80" spans="1:22" x14ac:dyDescent="0.15">
      <c r="A80" s="9">
        <v>32143</v>
      </c>
      <c r="B80" s="8">
        <v>1885.1</v>
      </c>
      <c r="C80" s="8">
        <v>938.9</v>
      </c>
      <c r="D80" s="8">
        <v>487</v>
      </c>
      <c r="E80" s="8">
        <v>631</v>
      </c>
      <c r="F80" s="8">
        <v>757.4</v>
      </c>
      <c r="G80" s="8">
        <v>605</v>
      </c>
      <c r="H80" s="8">
        <v>5304.4</v>
      </c>
      <c r="I80" s="8">
        <v>1904.4</v>
      </c>
      <c r="J80" s="8">
        <v>1032.4000000000001</v>
      </c>
      <c r="K80" s="8">
        <v>559.1</v>
      </c>
      <c r="L80" s="8">
        <v>758.3</v>
      </c>
      <c r="M80" s="8">
        <v>801.3</v>
      </c>
      <c r="N80" s="8">
        <v>603.9</v>
      </c>
      <c r="O80" s="8">
        <v>5659.4</v>
      </c>
      <c r="P80" s="8">
        <v>1922</v>
      </c>
      <c r="Q80" s="8">
        <v>1046.5</v>
      </c>
      <c r="R80" s="8">
        <v>578.4</v>
      </c>
      <c r="S80" s="8">
        <v>741.9</v>
      </c>
      <c r="T80" s="8">
        <v>808.2</v>
      </c>
      <c r="U80" s="8">
        <v>614</v>
      </c>
      <c r="V80" s="8">
        <v>5711.3</v>
      </c>
    </row>
    <row r="81" spans="1:22" x14ac:dyDescent="0.15">
      <c r="A81" s="9">
        <v>32174</v>
      </c>
      <c r="B81" s="8">
        <v>1845.2</v>
      </c>
      <c r="C81" s="8">
        <v>968.3</v>
      </c>
      <c r="D81" s="8">
        <v>502.6</v>
      </c>
      <c r="E81" s="8">
        <v>551.1</v>
      </c>
      <c r="F81" s="8">
        <v>773.5</v>
      </c>
      <c r="G81" s="8">
        <v>586.1</v>
      </c>
      <c r="H81" s="8">
        <v>5226.8</v>
      </c>
      <c r="I81" s="8">
        <v>1911.2</v>
      </c>
      <c r="J81" s="8">
        <v>1065.5</v>
      </c>
      <c r="K81" s="8">
        <v>612.6</v>
      </c>
      <c r="L81" s="8">
        <v>738.9</v>
      </c>
      <c r="M81" s="8">
        <v>810.2</v>
      </c>
      <c r="N81" s="8">
        <v>612.4</v>
      </c>
      <c r="O81" s="8">
        <v>5750.7</v>
      </c>
      <c r="P81" s="8">
        <v>1934.7</v>
      </c>
      <c r="Q81" s="8">
        <v>1055.8</v>
      </c>
      <c r="R81" s="8">
        <v>585</v>
      </c>
      <c r="S81" s="8">
        <v>749.7</v>
      </c>
      <c r="T81" s="8">
        <v>812.2</v>
      </c>
      <c r="U81" s="8">
        <v>618.70000000000005</v>
      </c>
      <c r="V81" s="8">
        <v>5755.8</v>
      </c>
    </row>
    <row r="82" spans="1:22" x14ac:dyDescent="0.15">
      <c r="A82" s="9">
        <v>32203</v>
      </c>
      <c r="B82" s="8">
        <v>2021.6</v>
      </c>
      <c r="C82" s="8">
        <v>1035.5999999999999</v>
      </c>
      <c r="D82" s="8">
        <v>551</v>
      </c>
      <c r="E82" s="8">
        <v>678.1</v>
      </c>
      <c r="F82" s="8">
        <v>818</v>
      </c>
      <c r="G82" s="8">
        <v>625.29999999999995</v>
      </c>
      <c r="H82" s="8">
        <v>5729.7</v>
      </c>
      <c r="I82" s="8">
        <v>1950.6</v>
      </c>
      <c r="J82" s="8">
        <v>1071.5</v>
      </c>
      <c r="K82" s="8">
        <v>592.5</v>
      </c>
      <c r="L82" s="8">
        <v>748.3</v>
      </c>
      <c r="M82" s="8">
        <v>820.3</v>
      </c>
      <c r="N82" s="8">
        <v>623.20000000000005</v>
      </c>
      <c r="O82" s="8">
        <v>5806.5</v>
      </c>
      <c r="P82" s="8">
        <v>1947.1</v>
      </c>
      <c r="Q82" s="8">
        <v>1067.8</v>
      </c>
      <c r="R82" s="8">
        <v>589.9</v>
      </c>
      <c r="S82" s="8">
        <v>754.7</v>
      </c>
      <c r="T82" s="8">
        <v>819.4</v>
      </c>
      <c r="U82" s="8">
        <v>627.5</v>
      </c>
      <c r="V82" s="8">
        <v>5806.8</v>
      </c>
    </row>
    <row r="83" spans="1:22" x14ac:dyDescent="0.15">
      <c r="A83" s="9">
        <v>32234</v>
      </c>
      <c r="B83" s="8">
        <v>1937.5</v>
      </c>
      <c r="C83" s="8">
        <v>945.3</v>
      </c>
      <c r="D83" s="8">
        <v>563.1</v>
      </c>
      <c r="E83" s="8">
        <v>715.7</v>
      </c>
      <c r="F83" s="8">
        <v>753.7</v>
      </c>
      <c r="G83" s="8">
        <v>611.9</v>
      </c>
      <c r="H83" s="8">
        <v>5527.3</v>
      </c>
      <c r="I83" s="8">
        <v>1982.5</v>
      </c>
      <c r="J83" s="8">
        <v>1061.8</v>
      </c>
      <c r="K83" s="8">
        <v>588.6</v>
      </c>
      <c r="L83" s="8">
        <v>765.9</v>
      </c>
      <c r="M83" s="8">
        <v>823.7</v>
      </c>
      <c r="N83" s="8">
        <v>640.29999999999995</v>
      </c>
      <c r="O83" s="8">
        <v>5862.7</v>
      </c>
      <c r="P83" s="8">
        <v>1960.1</v>
      </c>
      <c r="Q83" s="8">
        <v>1080.5</v>
      </c>
      <c r="R83" s="8">
        <v>594.9</v>
      </c>
      <c r="S83" s="8">
        <v>756.8</v>
      </c>
      <c r="T83" s="8">
        <v>828.4</v>
      </c>
      <c r="U83" s="8">
        <v>639</v>
      </c>
      <c r="V83" s="8">
        <v>5858.9</v>
      </c>
    </row>
    <row r="84" spans="1:22" x14ac:dyDescent="0.15">
      <c r="A84" s="9">
        <v>32264</v>
      </c>
      <c r="B84" s="8">
        <v>1907</v>
      </c>
      <c r="C84" s="8">
        <v>1074.9000000000001</v>
      </c>
      <c r="D84" s="8">
        <v>619.6</v>
      </c>
      <c r="E84" s="8">
        <v>740.8</v>
      </c>
      <c r="F84" s="8">
        <v>814.9</v>
      </c>
      <c r="G84" s="8">
        <v>630.5</v>
      </c>
      <c r="H84" s="8">
        <v>5787.8</v>
      </c>
      <c r="I84" s="8">
        <v>1980.9</v>
      </c>
      <c r="J84" s="8">
        <v>1102</v>
      </c>
      <c r="K84" s="8">
        <v>596.5</v>
      </c>
      <c r="L84" s="8">
        <v>763.9</v>
      </c>
      <c r="M84" s="8">
        <v>842.2</v>
      </c>
      <c r="N84" s="8">
        <v>650.79999999999995</v>
      </c>
      <c r="O84" s="8">
        <v>5936.4</v>
      </c>
      <c r="P84" s="8">
        <v>1972.5</v>
      </c>
      <c r="Q84" s="8">
        <v>1091</v>
      </c>
      <c r="R84" s="8">
        <v>600.4</v>
      </c>
      <c r="S84" s="8">
        <v>756.8</v>
      </c>
      <c r="T84" s="8">
        <v>837.6</v>
      </c>
      <c r="U84" s="8">
        <v>650.20000000000005</v>
      </c>
      <c r="V84" s="8">
        <v>5908.5</v>
      </c>
    </row>
    <row r="85" spans="1:22" x14ac:dyDescent="0.15">
      <c r="A85" s="9">
        <v>32295</v>
      </c>
      <c r="B85" s="8">
        <v>1925.7</v>
      </c>
      <c r="C85" s="8">
        <v>1053.5999999999999</v>
      </c>
      <c r="D85" s="8">
        <v>601.6</v>
      </c>
      <c r="E85" s="8">
        <v>722</v>
      </c>
      <c r="F85" s="8">
        <v>800.8</v>
      </c>
      <c r="G85" s="8">
        <v>635.5</v>
      </c>
      <c r="H85" s="8">
        <v>5739.2</v>
      </c>
      <c r="I85" s="8">
        <v>1985.2</v>
      </c>
      <c r="J85" s="8">
        <v>1110.5</v>
      </c>
      <c r="K85" s="8">
        <v>608.1</v>
      </c>
      <c r="L85" s="8">
        <v>756.6</v>
      </c>
      <c r="M85" s="8">
        <v>852.7</v>
      </c>
      <c r="N85" s="8">
        <v>663.7</v>
      </c>
      <c r="O85" s="8">
        <v>5976.7</v>
      </c>
      <c r="P85" s="8">
        <v>1984</v>
      </c>
      <c r="Q85" s="8">
        <v>1096.5</v>
      </c>
      <c r="R85" s="8">
        <v>608.29999999999995</v>
      </c>
      <c r="S85" s="8">
        <v>756.7</v>
      </c>
      <c r="T85" s="8">
        <v>847.6</v>
      </c>
      <c r="U85" s="8">
        <v>659.2</v>
      </c>
      <c r="V85" s="8">
        <v>5953.1</v>
      </c>
    </row>
    <row r="86" spans="1:22" x14ac:dyDescent="0.15">
      <c r="A86" s="9">
        <v>32325</v>
      </c>
      <c r="B86" s="8">
        <v>1932.6</v>
      </c>
      <c r="C86" s="8">
        <v>1045.0999999999999</v>
      </c>
      <c r="D86" s="8">
        <v>592.70000000000005</v>
      </c>
      <c r="E86" s="8">
        <v>683.5</v>
      </c>
      <c r="F86" s="8">
        <v>810.1</v>
      </c>
      <c r="G86" s="8">
        <v>658.7</v>
      </c>
      <c r="H86" s="8">
        <v>5722.7</v>
      </c>
      <c r="I86" s="8">
        <v>1976.8</v>
      </c>
      <c r="J86" s="8">
        <v>1100.2</v>
      </c>
      <c r="K86" s="8">
        <v>611.1</v>
      </c>
      <c r="L86" s="8">
        <v>752</v>
      </c>
      <c r="M86" s="8">
        <v>856.4</v>
      </c>
      <c r="N86" s="8">
        <v>672.2</v>
      </c>
      <c r="O86" s="8">
        <v>5968.7</v>
      </c>
      <c r="P86" s="8">
        <v>1998.8</v>
      </c>
      <c r="Q86" s="8">
        <v>1097.5</v>
      </c>
      <c r="R86" s="8">
        <v>617.4</v>
      </c>
      <c r="S86" s="8">
        <v>758.6</v>
      </c>
      <c r="T86" s="8">
        <v>856.4</v>
      </c>
      <c r="U86" s="8">
        <v>662.5</v>
      </c>
      <c r="V86" s="8">
        <v>5992.9</v>
      </c>
    </row>
    <row r="87" spans="1:22" x14ac:dyDescent="0.15">
      <c r="A87" s="9">
        <v>32356</v>
      </c>
      <c r="B87" s="8">
        <v>1977.6</v>
      </c>
      <c r="C87" s="8">
        <v>1073.4000000000001</v>
      </c>
      <c r="D87" s="8">
        <v>578</v>
      </c>
      <c r="E87" s="8">
        <v>650.9</v>
      </c>
      <c r="F87" s="8">
        <v>850.9</v>
      </c>
      <c r="G87" s="8">
        <v>656.4</v>
      </c>
      <c r="H87" s="8">
        <v>5787.3</v>
      </c>
      <c r="I87" s="8">
        <v>2009.4</v>
      </c>
      <c r="J87" s="8">
        <v>1103.4000000000001</v>
      </c>
      <c r="K87" s="8">
        <v>625</v>
      </c>
      <c r="L87" s="8">
        <v>753.8</v>
      </c>
      <c r="M87" s="8">
        <v>867.2</v>
      </c>
      <c r="N87" s="8">
        <v>665.4</v>
      </c>
      <c r="O87" s="8">
        <v>6024.2</v>
      </c>
      <c r="P87" s="8">
        <v>2019.9</v>
      </c>
      <c r="Q87" s="8">
        <v>1098.4000000000001</v>
      </c>
      <c r="R87" s="8">
        <v>627.6</v>
      </c>
      <c r="S87" s="8">
        <v>763.5</v>
      </c>
      <c r="T87" s="8">
        <v>866.7</v>
      </c>
      <c r="U87" s="8">
        <v>662.4</v>
      </c>
      <c r="V87" s="8">
        <v>6037.7</v>
      </c>
    </row>
    <row r="88" spans="1:22" x14ac:dyDescent="0.15">
      <c r="A88" s="9">
        <v>32387</v>
      </c>
      <c r="B88" s="8">
        <v>2035.2</v>
      </c>
      <c r="C88" s="8">
        <v>1040.7</v>
      </c>
      <c r="D88" s="8">
        <v>641.70000000000005</v>
      </c>
      <c r="E88" s="8">
        <v>723.3</v>
      </c>
      <c r="F88" s="8">
        <v>845.5</v>
      </c>
      <c r="G88" s="8">
        <v>660</v>
      </c>
      <c r="H88" s="8">
        <v>5946.3</v>
      </c>
      <c r="I88" s="8">
        <v>2049.6999999999998</v>
      </c>
      <c r="J88" s="8">
        <v>1083.5</v>
      </c>
      <c r="K88" s="8">
        <v>653.1</v>
      </c>
      <c r="L88" s="8">
        <v>764.8</v>
      </c>
      <c r="M88" s="8">
        <v>868.3</v>
      </c>
      <c r="N88" s="8">
        <v>659.1</v>
      </c>
      <c r="O88" s="8">
        <v>6078.6</v>
      </c>
      <c r="P88" s="8">
        <v>2043.6</v>
      </c>
      <c r="Q88" s="8">
        <v>1102.5999999999999</v>
      </c>
      <c r="R88" s="8">
        <v>637.9</v>
      </c>
      <c r="S88" s="8">
        <v>770.1</v>
      </c>
      <c r="T88" s="8">
        <v>878.8</v>
      </c>
      <c r="U88" s="8">
        <v>663.6</v>
      </c>
      <c r="V88" s="8">
        <v>6095</v>
      </c>
    </row>
    <row r="89" spans="1:22" x14ac:dyDescent="0.15">
      <c r="A89" s="9">
        <v>32417</v>
      </c>
      <c r="B89" s="8">
        <v>2050.6999999999998</v>
      </c>
      <c r="C89" s="8">
        <v>1092.9000000000001</v>
      </c>
      <c r="D89" s="8">
        <v>650.20000000000005</v>
      </c>
      <c r="E89" s="8">
        <v>729.6</v>
      </c>
      <c r="F89" s="8">
        <v>872.1</v>
      </c>
      <c r="G89" s="8">
        <v>670.2</v>
      </c>
      <c r="H89" s="8">
        <v>6065.8</v>
      </c>
      <c r="I89" s="8">
        <v>2075.3000000000002</v>
      </c>
      <c r="J89" s="8">
        <v>1099.2</v>
      </c>
      <c r="K89" s="8">
        <v>653</v>
      </c>
      <c r="L89" s="8">
        <v>783.7</v>
      </c>
      <c r="M89" s="8">
        <v>889.9</v>
      </c>
      <c r="N89" s="8">
        <v>665.9</v>
      </c>
      <c r="O89" s="8">
        <v>6166.9</v>
      </c>
      <c r="P89" s="8">
        <v>2071.4</v>
      </c>
      <c r="Q89" s="8">
        <v>1113.2</v>
      </c>
      <c r="R89" s="8">
        <v>644.70000000000005</v>
      </c>
      <c r="S89" s="8">
        <v>777.1</v>
      </c>
      <c r="T89" s="8">
        <v>891.7</v>
      </c>
      <c r="U89" s="8">
        <v>665</v>
      </c>
      <c r="V89" s="8">
        <v>6162.4</v>
      </c>
    </row>
    <row r="90" spans="1:22" x14ac:dyDescent="0.15">
      <c r="A90" s="9">
        <v>32448</v>
      </c>
      <c r="B90" s="8">
        <v>2109.5</v>
      </c>
      <c r="C90" s="8">
        <v>1210.9000000000001</v>
      </c>
      <c r="D90" s="8">
        <v>664.4</v>
      </c>
      <c r="E90" s="8">
        <v>870.3</v>
      </c>
      <c r="F90" s="8">
        <v>945</v>
      </c>
      <c r="G90" s="8">
        <v>670.8</v>
      </c>
      <c r="H90" s="8">
        <v>6470.9</v>
      </c>
      <c r="I90" s="8">
        <v>2100.6</v>
      </c>
      <c r="J90" s="8">
        <v>1124.3</v>
      </c>
      <c r="K90" s="8">
        <v>633.79999999999995</v>
      </c>
      <c r="L90" s="8">
        <v>794.9</v>
      </c>
      <c r="M90" s="8">
        <v>904.3</v>
      </c>
      <c r="N90" s="8">
        <v>653.9</v>
      </c>
      <c r="O90" s="8">
        <v>6211.8</v>
      </c>
      <c r="P90" s="8">
        <v>2099.5</v>
      </c>
      <c r="Q90" s="8">
        <v>1127.5</v>
      </c>
      <c r="R90" s="8">
        <v>649.5</v>
      </c>
      <c r="S90" s="8">
        <v>782.4</v>
      </c>
      <c r="T90" s="8">
        <v>903.5</v>
      </c>
      <c r="U90" s="8">
        <v>672.4</v>
      </c>
      <c r="V90" s="8">
        <v>6234.6</v>
      </c>
    </row>
    <row r="91" spans="1:22" x14ac:dyDescent="0.15">
      <c r="A91" s="9">
        <v>32478</v>
      </c>
      <c r="B91" s="8">
        <v>2549.6999999999998</v>
      </c>
      <c r="C91" s="8">
        <v>1714.8</v>
      </c>
      <c r="D91" s="8">
        <v>956.3</v>
      </c>
      <c r="E91" s="8">
        <v>1570</v>
      </c>
      <c r="F91" s="8">
        <v>1321.2</v>
      </c>
      <c r="G91" s="8">
        <v>773.9</v>
      </c>
      <c r="H91" s="8">
        <v>8885.7999999999993</v>
      </c>
      <c r="I91" s="8">
        <v>2132.9</v>
      </c>
      <c r="J91" s="8">
        <v>1155.0999999999999</v>
      </c>
      <c r="K91" s="8">
        <v>637.20000000000005</v>
      </c>
      <c r="L91" s="8">
        <v>790.5</v>
      </c>
      <c r="M91" s="8">
        <v>924.1</v>
      </c>
      <c r="N91" s="8">
        <v>668</v>
      </c>
      <c r="O91" s="8">
        <v>6307.8</v>
      </c>
      <c r="P91" s="8">
        <v>2121.9</v>
      </c>
      <c r="Q91" s="8">
        <v>1147.5</v>
      </c>
      <c r="R91" s="8">
        <v>652.20000000000005</v>
      </c>
      <c r="S91" s="8">
        <v>783.7</v>
      </c>
      <c r="T91" s="8">
        <v>916.5</v>
      </c>
      <c r="U91" s="8">
        <v>682.2</v>
      </c>
      <c r="V91" s="8">
        <v>6301.5</v>
      </c>
    </row>
    <row r="92" spans="1:22" x14ac:dyDescent="0.15">
      <c r="A92" s="9">
        <v>32509</v>
      </c>
      <c r="B92" s="8">
        <v>2056.1</v>
      </c>
      <c r="C92" s="8">
        <v>1089.2</v>
      </c>
      <c r="D92" s="8">
        <v>598</v>
      </c>
      <c r="E92" s="8">
        <v>631.5</v>
      </c>
      <c r="F92" s="8">
        <v>872.7</v>
      </c>
      <c r="G92" s="8">
        <v>732.8</v>
      </c>
      <c r="H92" s="8">
        <v>5980.3</v>
      </c>
      <c r="I92" s="8">
        <v>2135.3000000000002</v>
      </c>
      <c r="J92" s="8">
        <v>1197.8</v>
      </c>
      <c r="K92" s="8">
        <v>684.3</v>
      </c>
      <c r="L92" s="8">
        <v>779.1</v>
      </c>
      <c r="M92" s="8">
        <v>941.7</v>
      </c>
      <c r="N92" s="8">
        <v>721.1</v>
      </c>
      <c r="O92" s="8">
        <v>6459.3</v>
      </c>
      <c r="P92" s="8">
        <v>2138.6999999999998</v>
      </c>
      <c r="Q92" s="8">
        <v>1165.7</v>
      </c>
      <c r="R92" s="8">
        <v>656.7</v>
      </c>
      <c r="S92" s="8">
        <v>781.7</v>
      </c>
      <c r="T92" s="8">
        <v>924.3</v>
      </c>
      <c r="U92" s="8">
        <v>693.1</v>
      </c>
      <c r="V92" s="8">
        <v>6356.4</v>
      </c>
    </row>
    <row r="93" spans="1:22" x14ac:dyDescent="0.15">
      <c r="A93" s="9">
        <v>32540</v>
      </c>
      <c r="B93" s="8">
        <v>1990.2</v>
      </c>
      <c r="C93" s="8">
        <v>1021.5</v>
      </c>
      <c r="D93" s="8">
        <v>517</v>
      </c>
      <c r="E93" s="8">
        <v>552</v>
      </c>
      <c r="F93" s="8">
        <v>832.7</v>
      </c>
      <c r="G93" s="8">
        <v>660.7</v>
      </c>
      <c r="H93" s="8">
        <v>5574.1</v>
      </c>
      <c r="I93" s="8">
        <v>2136.1</v>
      </c>
      <c r="J93" s="8">
        <v>1161.7</v>
      </c>
      <c r="K93" s="8">
        <v>652.5</v>
      </c>
      <c r="L93" s="8">
        <v>761.5</v>
      </c>
      <c r="M93" s="8">
        <v>913.8</v>
      </c>
      <c r="N93" s="8">
        <v>713.4</v>
      </c>
      <c r="O93" s="8">
        <v>6339.1</v>
      </c>
      <c r="P93" s="8">
        <v>2152.6</v>
      </c>
      <c r="Q93" s="8">
        <v>1179.5999999999999</v>
      </c>
      <c r="R93" s="8">
        <v>656.5</v>
      </c>
      <c r="S93" s="8">
        <v>778.7</v>
      </c>
      <c r="T93" s="8">
        <v>931</v>
      </c>
      <c r="U93" s="8">
        <v>707.4</v>
      </c>
      <c r="V93" s="8">
        <v>6400.6</v>
      </c>
    </row>
    <row r="94" spans="1:22" x14ac:dyDescent="0.15">
      <c r="A94" s="9">
        <v>32568</v>
      </c>
      <c r="B94" s="8">
        <v>2261.1999999999998</v>
      </c>
      <c r="C94" s="8">
        <v>1107</v>
      </c>
      <c r="D94" s="8">
        <v>593</v>
      </c>
      <c r="E94" s="8">
        <v>719</v>
      </c>
      <c r="F94" s="8">
        <v>905.5</v>
      </c>
      <c r="G94" s="8">
        <v>713.2</v>
      </c>
      <c r="H94" s="8">
        <v>6299</v>
      </c>
      <c r="I94" s="8">
        <v>2156.8000000000002</v>
      </c>
      <c r="J94" s="8">
        <v>1176.5999999999999</v>
      </c>
      <c r="K94" s="8">
        <v>651.79999999999995</v>
      </c>
      <c r="L94" s="8">
        <v>788</v>
      </c>
      <c r="M94" s="8">
        <v>930.7</v>
      </c>
      <c r="N94" s="8">
        <v>716.8</v>
      </c>
      <c r="O94" s="8">
        <v>6420.8</v>
      </c>
      <c r="P94" s="8">
        <v>2163.5</v>
      </c>
      <c r="Q94" s="8">
        <v>1187.8</v>
      </c>
      <c r="R94" s="8">
        <v>655.7</v>
      </c>
      <c r="S94" s="8">
        <v>778</v>
      </c>
      <c r="T94" s="8">
        <v>936</v>
      </c>
      <c r="U94" s="8">
        <v>718.1</v>
      </c>
      <c r="V94" s="8">
        <v>6438</v>
      </c>
    </row>
    <row r="95" spans="1:22" x14ac:dyDescent="0.15">
      <c r="A95" s="9">
        <v>32599</v>
      </c>
      <c r="B95" s="8">
        <v>2104.6</v>
      </c>
      <c r="C95" s="8">
        <v>1089</v>
      </c>
      <c r="D95" s="8">
        <v>632.29999999999995</v>
      </c>
      <c r="E95" s="8">
        <v>697.6</v>
      </c>
      <c r="F95" s="8">
        <v>858.2</v>
      </c>
      <c r="G95" s="8">
        <v>693.9</v>
      </c>
      <c r="H95" s="8">
        <v>6075.7</v>
      </c>
      <c r="I95" s="8">
        <v>2197.6999999999998</v>
      </c>
      <c r="J95" s="8">
        <v>1200.0999999999999</v>
      </c>
      <c r="K95" s="8">
        <v>655.6</v>
      </c>
      <c r="L95" s="8">
        <v>779.9</v>
      </c>
      <c r="M95" s="8">
        <v>941.2</v>
      </c>
      <c r="N95" s="8">
        <v>719.2</v>
      </c>
      <c r="O95" s="8">
        <v>6493.7</v>
      </c>
      <c r="P95" s="8">
        <v>2178.9</v>
      </c>
      <c r="Q95" s="8">
        <v>1193.4000000000001</v>
      </c>
      <c r="R95" s="8">
        <v>655.4</v>
      </c>
      <c r="S95" s="8">
        <v>781.6</v>
      </c>
      <c r="T95" s="8">
        <v>940.6</v>
      </c>
      <c r="U95" s="8">
        <v>727.3</v>
      </c>
      <c r="V95" s="8">
        <v>6475.5</v>
      </c>
    </row>
    <row r="96" spans="1:22" x14ac:dyDescent="0.15">
      <c r="A96" s="9">
        <v>32629</v>
      </c>
      <c r="B96" s="8">
        <v>2139</v>
      </c>
      <c r="C96" s="8">
        <v>1203.5999999999999</v>
      </c>
      <c r="D96" s="8">
        <v>679.5</v>
      </c>
      <c r="E96" s="8">
        <v>764.8</v>
      </c>
      <c r="F96" s="8">
        <v>940.9</v>
      </c>
      <c r="G96" s="8">
        <v>710</v>
      </c>
      <c r="H96" s="8">
        <v>6437.8</v>
      </c>
      <c r="I96" s="8">
        <v>2173.6999999999998</v>
      </c>
      <c r="J96" s="8">
        <v>1203.0999999999999</v>
      </c>
      <c r="K96" s="8">
        <v>641.6</v>
      </c>
      <c r="L96" s="8">
        <v>773.7</v>
      </c>
      <c r="M96" s="8">
        <v>955.8</v>
      </c>
      <c r="N96" s="8">
        <v>726.6</v>
      </c>
      <c r="O96" s="8">
        <v>6474.6</v>
      </c>
      <c r="P96" s="8">
        <v>2195.8000000000002</v>
      </c>
      <c r="Q96" s="8">
        <v>1196.8</v>
      </c>
      <c r="R96" s="8">
        <v>653.29999999999995</v>
      </c>
      <c r="S96" s="8">
        <v>788.4</v>
      </c>
      <c r="T96" s="8">
        <v>948</v>
      </c>
      <c r="U96" s="8">
        <v>735.5</v>
      </c>
      <c r="V96" s="8">
        <v>6517.9</v>
      </c>
    </row>
    <row r="97" spans="1:22" x14ac:dyDescent="0.15">
      <c r="A97" s="9">
        <v>32660</v>
      </c>
      <c r="B97" s="8">
        <v>2170.3000000000002</v>
      </c>
      <c r="C97" s="8">
        <v>1151.9000000000001</v>
      </c>
      <c r="D97" s="8">
        <v>661.4</v>
      </c>
      <c r="E97" s="8">
        <v>786.3</v>
      </c>
      <c r="F97" s="8">
        <v>885.8</v>
      </c>
      <c r="G97" s="8">
        <v>721.7</v>
      </c>
      <c r="H97" s="8">
        <v>6377.4</v>
      </c>
      <c r="I97" s="8">
        <v>2216</v>
      </c>
      <c r="J97" s="8">
        <v>1204.7</v>
      </c>
      <c r="K97" s="8">
        <v>663.3</v>
      </c>
      <c r="L97" s="8">
        <v>808</v>
      </c>
      <c r="M97" s="8">
        <v>954.6</v>
      </c>
      <c r="N97" s="8">
        <v>750.2</v>
      </c>
      <c r="O97" s="8">
        <v>6596.8</v>
      </c>
      <c r="P97" s="8">
        <v>2216.1999999999998</v>
      </c>
      <c r="Q97" s="8">
        <v>1201</v>
      </c>
      <c r="R97" s="8">
        <v>652.6</v>
      </c>
      <c r="S97" s="8">
        <v>796.4</v>
      </c>
      <c r="T97" s="8">
        <v>955.5</v>
      </c>
      <c r="U97" s="8">
        <v>742.6</v>
      </c>
      <c r="V97" s="8">
        <v>6565.1</v>
      </c>
    </row>
    <row r="98" spans="1:22" x14ac:dyDescent="0.15">
      <c r="A98" s="9">
        <v>32690</v>
      </c>
      <c r="B98" s="8">
        <v>2163.1</v>
      </c>
      <c r="C98" s="8">
        <v>1135.8</v>
      </c>
      <c r="D98" s="8">
        <v>634.6</v>
      </c>
      <c r="E98" s="8">
        <v>715.1</v>
      </c>
      <c r="F98" s="8">
        <v>897.7</v>
      </c>
      <c r="G98" s="8">
        <v>741.3</v>
      </c>
      <c r="H98" s="8">
        <v>6287.5</v>
      </c>
      <c r="I98" s="8">
        <v>2245.4</v>
      </c>
      <c r="J98" s="8">
        <v>1201.8</v>
      </c>
      <c r="K98" s="8">
        <v>658.2</v>
      </c>
      <c r="L98" s="8">
        <v>806.2</v>
      </c>
      <c r="M98" s="8">
        <v>959.7</v>
      </c>
      <c r="N98" s="8">
        <v>761</v>
      </c>
      <c r="O98" s="8">
        <v>6632.3</v>
      </c>
      <c r="P98" s="8">
        <v>2236.8000000000002</v>
      </c>
      <c r="Q98" s="8">
        <v>1206.7</v>
      </c>
      <c r="R98" s="8">
        <v>653.70000000000005</v>
      </c>
      <c r="S98" s="8">
        <v>803.9</v>
      </c>
      <c r="T98" s="8">
        <v>964.3</v>
      </c>
      <c r="U98" s="8">
        <v>750.9</v>
      </c>
      <c r="V98" s="8">
        <v>6617</v>
      </c>
    </row>
    <row r="99" spans="1:22" x14ac:dyDescent="0.15">
      <c r="A99" s="9">
        <v>32721</v>
      </c>
      <c r="B99" s="8">
        <v>2255.1</v>
      </c>
      <c r="C99" s="8">
        <v>1161.5</v>
      </c>
      <c r="D99" s="8">
        <v>603</v>
      </c>
      <c r="E99" s="8">
        <v>723.8</v>
      </c>
      <c r="F99" s="8">
        <v>947.4</v>
      </c>
      <c r="G99" s="8">
        <v>745.5</v>
      </c>
      <c r="H99" s="8">
        <v>6436.4</v>
      </c>
      <c r="I99" s="8">
        <v>2258.6</v>
      </c>
      <c r="J99" s="8">
        <v>1191.2</v>
      </c>
      <c r="K99" s="8">
        <v>646.6</v>
      </c>
      <c r="L99" s="8">
        <v>815.7</v>
      </c>
      <c r="M99" s="8">
        <v>965.4</v>
      </c>
      <c r="N99" s="8">
        <v>753.5</v>
      </c>
      <c r="O99" s="8">
        <v>6631</v>
      </c>
      <c r="P99" s="8">
        <v>2257.3000000000002</v>
      </c>
      <c r="Q99" s="8">
        <v>1213</v>
      </c>
      <c r="R99" s="8">
        <v>655.29999999999995</v>
      </c>
      <c r="S99" s="8">
        <v>809.9</v>
      </c>
      <c r="T99" s="8">
        <v>972.1</v>
      </c>
      <c r="U99" s="8">
        <v>761.6</v>
      </c>
      <c r="V99" s="8">
        <v>6669.4</v>
      </c>
    </row>
    <row r="100" spans="1:22" x14ac:dyDescent="0.15">
      <c r="A100" s="9">
        <v>32752</v>
      </c>
      <c r="B100" s="8">
        <v>2262.6</v>
      </c>
      <c r="C100" s="8">
        <v>1174</v>
      </c>
      <c r="D100" s="8">
        <v>636.29999999999995</v>
      </c>
      <c r="E100" s="8">
        <v>757.9</v>
      </c>
      <c r="F100" s="8">
        <v>967.7</v>
      </c>
      <c r="G100" s="8">
        <v>766.9</v>
      </c>
      <c r="H100" s="8">
        <v>6565.5</v>
      </c>
      <c r="I100" s="8">
        <v>2293.3000000000002</v>
      </c>
      <c r="J100" s="8">
        <v>1227.4000000000001</v>
      </c>
      <c r="K100" s="8">
        <v>659.9</v>
      </c>
      <c r="L100" s="8">
        <v>809.7</v>
      </c>
      <c r="M100" s="8">
        <v>993.6</v>
      </c>
      <c r="N100" s="8">
        <v>771.1</v>
      </c>
      <c r="O100" s="8">
        <v>6754.9</v>
      </c>
      <c r="P100" s="8">
        <v>2275.1999999999998</v>
      </c>
      <c r="Q100" s="8">
        <v>1218.5999999999999</v>
      </c>
      <c r="R100" s="8">
        <v>657.5</v>
      </c>
      <c r="S100" s="8">
        <v>814</v>
      </c>
      <c r="T100" s="8">
        <v>979</v>
      </c>
      <c r="U100" s="8">
        <v>772.6</v>
      </c>
      <c r="V100" s="8">
        <v>6717.7</v>
      </c>
    </row>
    <row r="101" spans="1:22" x14ac:dyDescent="0.15">
      <c r="A101" s="9">
        <v>32782</v>
      </c>
      <c r="B101" s="8">
        <v>2221.6999999999998</v>
      </c>
      <c r="C101" s="8">
        <v>1217.4000000000001</v>
      </c>
      <c r="D101" s="8">
        <v>651.20000000000005</v>
      </c>
      <c r="E101" s="8">
        <v>751.7</v>
      </c>
      <c r="F101" s="8">
        <v>969.8</v>
      </c>
      <c r="G101" s="8">
        <v>793.7</v>
      </c>
      <c r="H101" s="8">
        <v>6605.4</v>
      </c>
      <c r="I101" s="8">
        <v>2270.1999999999998</v>
      </c>
      <c r="J101" s="8">
        <v>1222.8</v>
      </c>
      <c r="K101" s="8">
        <v>653.6</v>
      </c>
      <c r="L101" s="8">
        <v>806.4</v>
      </c>
      <c r="M101" s="8">
        <v>989</v>
      </c>
      <c r="N101" s="8">
        <v>789.7</v>
      </c>
      <c r="O101" s="8">
        <v>6731.8</v>
      </c>
      <c r="P101" s="8">
        <v>2291.6999999999998</v>
      </c>
      <c r="Q101" s="8">
        <v>1221.2</v>
      </c>
      <c r="R101" s="8">
        <v>659.2</v>
      </c>
      <c r="S101" s="8">
        <v>816.4</v>
      </c>
      <c r="T101" s="8">
        <v>987.5</v>
      </c>
      <c r="U101" s="8">
        <v>785.7</v>
      </c>
      <c r="V101" s="8">
        <v>6762.3</v>
      </c>
    </row>
    <row r="102" spans="1:22" x14ac:dyDescent="0.15">
      <c r="A102" s="9">
        <v>32813</v>
      </c>
      <c r="B102" s="8">
        <v>2327.5</v>
      </c>
      <c r="C102" s="8">
        <v>1351.2</v>
      </c>
      <c r="D102" s="8">
        <v>709.5</v>
      </c>
      <c r="E102" s="8">
        <v>923.8</v>
      </c>
      <c r="F102" s="8">
        <v>1034.8</v>
      </c>
      <c r="G102" s="8">
        <v>807.5</v>
      </c>
      <c r="H102" s="8">
        <v>7154.3</v>
      </c>
      <c r="I102" s="8">
        <v>2284</v>
      </c>
      <c r="J102" s="8">
        <v>1252.7</v>
      </c>
      <c r="K102" s="8">
        <v>667.9</v>
      </c>
      <c r="L102" s="8">
        <v>828.7</v>
      </c>
      <c r="M102" s="8">
        <v>982.3</v>
      </c>
      <c r="N102" s="8">
        <v>779.9</v>
      </c>
      <c r="O102" s="8">
        <v>6795.4</v>
      </c>
      <c r="P102" s="8">
        <v>2307.6999999999998</v>
      </c>
      <c r="Q102" s="8">
        <v>1222.2</v>
      </c>
      <c r="R102" s="8">
        <v>660.2</v>
      </c>
      <c r="S102" s="8">
        <v>817.3</v>
      </c>
      <c r="T102" s="8">
        <v>996.6</v>
      </c>
      <c r="U102" s="8">
        <v>800</v>
      </c>
      <c r="V102" s="8">
        <v>6800.7</v>
      </c>
    </row>
    <row r="103" spans="1:22" x14ac:dyDescent="0.15">
      <c r="A103" s="9">
        <v>32843</v>
      </c>
      <c r="B103" s="8">
        <v>2788.4</v>
      </c>
      <c r="C103" s="8">
        <v>1714.2</v>
      </c>
      <c r="D103" s="8">
        <v>964.7</v>
      </c>
      <c r="E103" s="8">
        <v>1569.4</v>
      </c>
      <c r="F103" s="8">
        <v>1415</v>
      </c>
      <c r="G103" s="8">
        <v>942.7</v>
      </c>
      <c r="H103" s="8">
        <v>9394.4</v>
      </c>
      <c r="I103" s="8">
        <v>2371.5</v>
      </c>
      <c r="J103" s="8">
        <v>1208</v>
      </c>
      <c r="K103" s="8">
        <v>660.9</v>
      </c>
      <c r="L103" s="8">
        <v>818.3</v>
      </c>
      <c r="M103" s="8">
        <v>1006.3</v>
      </c>
      <c r="N103" s="8">
        <v>822.2</v>
      </c>
      <c r="O103" s="8">
        <v>6887.2</v>
      </c>
      <c r="P103" s="8">
        <v>2322.8000000000002</v>
      </c>
      <c r="Q103" s="8">
        <v>1214.2</v>
      </c>
      <c r="R103" s="8">
        <v>659.3</v>
      </c>
      <c r="S103" s="8">
        <v>817</v>
      </c>
      <c r="T103" s="8">
        <v>1006.1</v>
      </c>
      <c r="U103" s="8">
        <v>810.9</v>
      </c>
      <c r="V103" s="8">
        <v>6831.1</v>
      </c>
    </row>
    <row r="104" spans="1:22" x14ac:dyDescent="0.15">
      <c r="A104" s="9">
        <v>32874</v>
      </c>
      <c r="B104" s="8">
        <v>2277.4</v>
      </c>
      <c r="C104" s="8">
        <v>1128.5</v>
      </c>
      <c r="D104" s="8">
        <v>604.5</v>
      </c>
      <c r="E104" s="8">
        <v>678.2</v>
      </c>
      <c r="F104" s="8">
        <v>965.4</v>
      </c>
      <c r="G104" s="8">
        <v>857.5</v>
      </c>
      <c r="H104" s="8">
        <v>6511.6</v>
      </c>
      <c r="I104" s="8">
        <v>2315.5</v>
      </c>
      <c r="J104" s="8">
        <v>1192.3</v>
      </c>
      <c r="K104" s="8">
        <v>665.6</v>
      </c>
      <c r="L104" s="8">
        <v>816.9</v>
      </c>
      <c r="M104" s="8">
        <v>1015.2</v>
      </c>
      <c r="N104" s="8">
        <v>836.3</v>
      </c>
      <c r="O104" s="8">
        <v>6841.9</v>
      </c>
      <c r="P104" s="8">
        <v>2336.6999999999998</v>
      </c>
      <c r="Q104" s="8">
        <v>1207.4000000000001</v>
      </c>
      <c r="R104" s="8">
        <v>660.7</v>
      </c>
      <c r="S104" s="8">
        <v>817</v>
      </c>
      <c r="T104" s="8">
        <v>1011.7</v>
      </c>
      <c r="U104" s="8">
        <v>823.6</v>
      </c>
      <c r="V104" s="8">
        <v>6857.3</v>
      </c>
    </row>
    <row r="105" spans="1:22" x14ac:dyDescent="0.15">
      <c r="A105" s="9">
        <v>32905</v>
      </c>
      <c r="B105" s="8">
        <v>2185.3000000000002</v>
      </c>
      <c r="C105" s="8">
        <v>1048</v>
      </c>
      <c r="D105" s="8">
        <v>516.70000000000005</v>
      </c>
      <c r="E105" s="8">
        <v>586.20000000000005</v>
      </c>
      <c r="F105" s="8">
        <v>930.4</v>
      </c>
      <c r="G105" s="8">
        <v>764.4</v>
      </c>
      <c r="H105" s="8">
        <v>6031</v>
      </c>
      <c r="I105" s="8">
        <v>2353.3000000000002</v>
      </c>
      <c r="J105" s="8">
        <v>1192</v>
      </c>
      <c r="K105" s="8">
        <v>649.70000000000005</v>
      </c>
      <c r="L105" s="8">
        <v>810.4</v>
      </c>
      <c r="M105" s="8">
        <v>1026.3</v>
      </c>
      <c r="N105" s="8">
        <v>823.7</v>
      </c>
      <c r="O105" s="8">
        <v>6855.3</v>
      </c>
      <c r="P105" s="8">
        <v>2351.6999999999998</v>
      </c>
      <c r="Q105" s="8">
        <v>1200.8</v>
      </c>
      <c r="R105" s="8">
        <v>660.1</v>
      </c>
      <c r="S105" s="8">
        <v>817.1</v>
      </c>
      <c r="T105" s="8">
        <v>1017.1</v>
      </c>
      <c r="U105" s="8">
        <v>831.5</v>
      </c>
      <c r="V105" s="8">
        <v>6880.4</v>
      </c>
    </row>
    <row r="106" spans="1:22" x14ac:dyDescent="0.15">
      <c r="A106" s="9">
        <v>32933</v>
      </c>
      <c r="B106" s="8">
        <v>2439.5</v>
      </c>
      <c r="C106" s="8">
        <v>1148.2</v>
      </c>
      <c r="D106" s="8">
        <v>604.4</v>
      </c>
      <c r="E106" s="8">
        <v>726.8</v>
      </c>
      <c r="F106" s="8">
        <v>990.1</v>
      </c>
      <c r="G106" s="8">
        <v>840.3</v>
      </c>
      <c r="H106" s="8">
        <v>6749.3</v>
      </c>
      <c r="I106" s="8">
        <v>2364.8000000000002</v>
      </c>
      <c r="J106" s="8">
        <v>1194.5</v>
      </c>
      <c r="K106" s="8">
        <v>659.7</v>
      </c>
      <c r="L106" s="8">
        <v>821.2</v>
      </c>
      <c r="M106" s="8">
        <v>1021.8</v>
      </c>
      <c r="N106" s="8">
        <v>841.9</v>
      </c>
      <c r="O106" s="8">
        <v>6903.8</v>
      </c>
      <c r="P106" s="8">
        <v>2367</v>
      </c>
      <c r="Q106" s="8">
        <v>1200.9000000000001</v>
      </c>
      <c r="R106" s="8">
        <v>661.8</v>
      </c>
      <c r="S106" s="8">
        <v>818.5</v>
      </c>
      <c r="T106" s="8">
        <v>1022.7</v>
      </c>
      <c r="U106" s="8">
        <v>834.5</v>
      </c>
      <c r="V106" s="8">
        <v>6905.2</v>
      </c>
    </row>
    <row r="107" spans="1:22" x14ac:dyDescent="0.15">
      <c r="A107" s="9">
        <v>32964</v>
      </c>
      <c r="B107" s="8">
        <v>2286</v>
      </c>
      <c r="C107" s="8">
        <v>1083.7</v>
      </c>
      <c r="D107" s="8">
        <v>635.29999999999995</v>
      </c>
      <c r="E107" s="8">
        <v>744.1</v>
      </c>
      <c r="F107" s="8">
        <v>922.4</v>
      </c>
      <c r="G107" s="8">
        <v>804.6</v>
      </c>
      <c r="H107" s="8">
        <v>6476.1</v>
      </c>
      <c r="I107" s="8">
        <v>2374.5</v>
      </c>
      <c r="J107" s="8">
        <v>1210.5999999999999</v>
      </c>
      <c r="K107" s="8">
        <v>667.9</v>
      </c>
      <c r="L107" s="8">
        <v>820.6</v>
      </c>
      <c r="M107" s="8">
        <v>1017</v>
      </c>
      <c r="N107" s="8">
        <v>834.9</v>
      </c>
      <c r="O107" s="8">
        <v>6925.6</v>
      </c>
      <c r="P107" s="8">
        <v>2382.3000000000002</v>
      </c>
      <c r="Q107" s="8">
        <v>1202.5999999999999</v>
      </c>
      <c r="R107" s="8">
        <v>665.2</v>
      </c>
      <c r="S107" s="8">
        <v>821.7</v>
      </c>
      <c r="T107" s="8">
        <v>1026.0999999999999</v>
      </c>
      <c r="U107" s="8">
        <v>836.4</v>
      </c>
      <c r="V107" s="8">
        <v>6933.1</v>
      </c>
    </row>
    <row r="108" spans="1:22" x14ac:dyDescent="0.15">
      <c r="A108" s="9">
        <v>32994</v>
      </c>
      <c r="B108" s="8">
        <v>2382.9</v>
      </c>
      <c r="C108" s="8">
        <v>1211.5999999999999</v>
      </c>
      <c r="D108" s="8">
        <v>712.9</v>
      </c>
      <c r="E108" s="8">
        <v>815.5</v>
      </c>
      <c r="F108" s="8">
        <v>1016.2</v>
      </c>
      <c r="G108" s="8">
        <v>808.9</v>
      </c>
      <c r="H108" s="8">
        <v>6947.9</v>
      </c>
      <c r="I108" s="8">
        <v>2391.1999999999998</v>
      </c>
      <c r="J108" s="8">
        <v>1213.7</v>
      </c>
      <c r="K108" s="8">
        <v>669.3</v>
      </c>
      <c r="L108" s="8">
        <v>811.5</v>
      </c>
      <c r="M108" s="8">
        <v>1035.5</v>
      </c>
      <c r="N108" s="8">
        <v>825.6</v>
      </c>
      <c r="O108" s="8">
        <v>6946.9</v>
      </c>
      <c r="P108" s="8">
        <v>2394.6999999999998</v>
      </c>
      <c r="Q108" s="8">
        <v>1206.7</v>
      </c>
      <c r="R108" s="8">
        <v>669.3</v>
      </c>
      <c r="S108" s="8">
        <v>825.9</v>
      </c>
      <c r="T108" s="8">
        <v>1028.3</v>
      </c>
      <c r="U108" s="8">
        <v>836.8</v>
      </c>
      <c r="V108" s="8">
        <v>6959</v>
      </c>
    </row>
    <row r="109" spans="1:22" x14ac:dyDescent="0.15">
      <c r="A109" s="9">
        <v>33025</v>
      </c>
      <c r="B109" s="8">
        <v>2361.9</v>
      </c>
      <c r="C109" s="8">
        <v>1160.4000000000001</v>
      </c>
      <c r="D109" s="8">
        <v>664.7</v>
      </c>
      <c r="E109" s="8">
        <v>832.4</v>
      </c>
      <c r="F109" s="8">
        <v>940.5</v>
      </c>
      <c r="G109" s="8">
        <v>799</v>
      </c>
      <c r="H109" s="8">
        <v>6758.9</v>
      </c>
      <c r="I109" s="8">
        <v>2425.9</v>
      </c>
      <c r="J109" s="8">
        <v>1214.0999999999999</v>
      </c>
      <c r="K109" s="8">
        <v>674.2</v>
      </c>
      <c r="L109" s="8">
        <v>852.8</v>
      </c>
      <c r="M109" s="8">
        <v>1016.8</v>
      </c>
      <c r="N109" s="8">
        <v>838.8</v>
      </c>
      <c r="O109" s="8">
        <v>7022.6</v>
      </c>
      <c r="P109" s="8">
        <v>2403.8000000000002</v>
      </c>
      <c r="Q109" s="8">
        <v>1207.3</v>
      </c>
      <c r="R109" s="8">
        <v>672.4</v>
      </c>
      <c r="S109" s="8">
        <v>829.5</v>
      </c>
      <c r="T109" s="8">
        <v>1027.5999999999999</v>
      </c>
      <c r="U109" s="8">
        <v>836.3</v>
      </c>
      <c r="V109" s="8">
        <v>6979.2</v>
      </c>
    </row>
    <row r="110" spans="1:22" x14ac:dyDescent="0.15">
      <c r="A110" s="9">
        <v>33055</v>
      </c>
      <c r="B110" s="8">
        <v>2302.9</v>
      </c>
      <c r="C110" s="8">
        <v>1136.2</v>
      </c>
      <c r="D110" s="8">
        <v>647.9</v>
      </c>
      <c r="E110" s="8">
        <v>710.3</v>
      </c>
      <c r="F110" s="8">
        <v>961.2</v>
      </c>
      <c r="G110" s="8">
        <v>815</v>
      </c>
      <c r="H110" s="8">
        <v>6573.5</v>
      </c>
      <c r="I110" s="8">
        <v>2417.6999999999998</v>
      </c>
      <c r="J110" s="8">
        <v>1197.5999999999999</v>
      </c>
      <c r="K110" s="8">
        <v>673.9</v>
      </c>
      <c r="L110" s="8">
        <v>817.4</v>
      </c>
      <c r="M110" s="8">
        <v>1030.9000000000001</v>
      </c>
      <c r="N110" s="8">
        <v>840.2</v>
      </c>
      <c r="O110" s="8">
        <v>6977.7</v>
      </c>
      <c r="P110" s="8">
        <v>2413.9</v>
      </c>
      <c r="Q110" s="8">
        <v>1204.5999999999999</v>
      </c>
      <c r="R110" s="8">
        <v>675.1</v>
      </c>
      <c r="S110" s="8">
        <v>831.1</v>
      </c>
      <c r="T110" s="8">
        <v>1028.7</v>
      </c>
      <c r="U110" s="8">
        <v>834.2</v>
      </c>
      <c r="V110" s="8">
        <v>6988.8</v>
      </c>
    </row>
    <row r="111" spans="1:22" x14ac:dyDescent="0.15">
      <c r="A111" s="9">
        <v>33086</v>
      </c>
      <c r="B111" s="8">
        <v>2469</v>
      </c>
      <c r="C111" s="8">
        <v>1186</v>
      </c>
      <c r="D111" s="8">
        <v>639.4</v>
      </c>
      <c r="E111" s="8">
        <v>759.4</v>
      </c>
      <c r="F111" s="8">
        <v>1029.4000000000001</v>
      </c>
      <c r="G111" s="8">
        <v>828</v>
      </c>
      <c r="H111" s="8">
        <v>6911.2</v>
      </c>
      <c r="I111" s="8">
        <v>2425.6</v>
      </c>
      <c r="J111" s="8">
        <v>1200.5</v>
      </c>
      <c r="K111" s="8">
        <v>680.7</v>
      </c>
      <c r="L111" s="8">
        <v>845.5</v>
      </c>
      <c r="M111" s="8">
        <v>1036.9000000000001</v>
      </c>
      <c r="N111" s="8">
        <v>836.6</v>
      </c>
      <c r="O111" s="8">
        <v>7025.9</v>
      </c>
      <c r="P111" s="8">
        <v>2422.6999999999998</v>
      </c>
      <c r="Q111" s="8">
        <v>1196.9000000000001</v>
      </c>
      <c r="R111" s="8">
        <v>676.8</v>
      </c>
      <c r="S111" s="8">
        <v>830.3</v>
      </c>
      <c r="T111" s="8">
        <v>1025.3</v>
      </c>
      <c r="U111" s="8">
        <v>831.7</v>
      </c>
      <c r="V111" s="8">
        <v>6987.7</v>
      </c>
    </row>
    <row r="112" spans="1:22" x14ac:dyDescent="0.15">
      <c r="A112" s="9">
        <v>33117</v>
      </c>
      <c r="B112" s="8">
        <v>2307.8000000000002</v>
      </c>
      <c r="C112" s="8">
        <v>1111.3</v>
      </c>
      <c r="D112" s="8">
        <v>636</v>
      </c>
      <c r="E112" s="8">
        <v>741.1</v>
      </c>
      <c r="F112" s="8">
        <v>980.6</v>
      </c>
      <c r="G112" s="8">
        <v>812.4</v>
      </c>
      <c r="H112" s="8">
        <v>6589.3</v>
      </c>
      <c r="I112" s="8">
        <v>2412.6999999999998</v>
      </c>
      <c r="J112" s="8">
        <v>1196.2</v>
      </c>
      <c r="K112" s="8">
        <v>680.9</v>
      </c>
      <c r="L112" s="8">
        <v>824.1</v>
      </c>
      <c r="M112" s="8">
        <v>1025.3</v>
      </c>
      <c r="N112" s="8">
        <v>822.3</v>
      </c>
      <c r="O112" s="8">
        <v>6961.5</v>
      </c>
      <c r="P112" s="8">
        <v>2437.3000000000002</v>
      </c>
      <c r="Q112" s="8">
        <v>1191.4000000000001</v>
      </c>
      <c r="R112" s="8">
        <v>677.2</v>
      </c>
      <c r="S112" s="8">
        <v>828</v>
      </c>
      <c r="T112" s="8">
        <v>1021.1</v>
      </c>
      <c r="U112" s="8">
        <v>826.6</v>
      </c>
      <c r="V112" s="8">
        <v>6986</v>
      </c>
    </row>
    <row r="113" spans="1:22" x14ac:dyDescent="0.15">
      <c r="A113" s="9">
        <v>33147</v>
      </c>
      <c r="B113" s="8">
        <v>2442.4</v>
      </c>
      <c r="C113" s="8">
        <v>1215.3</v>
      </c>
      <c r="D113" s="8">
        <v>682.8</v>
      </c>
      <c r="E113" s="8">
        <v>786.6</v>
      </c>
      <c r="F113" s="8">
        <v>1042.9000000000001</v>
      </c>
      <c r="G113" s="8">
        <v>833</v>
      </c>
      <c r="H113" s="8">
        <v>7002.9</v>
      </c>
      <c r="I113" s="8">
        <v>2441.1</v>
      </c>
      <c r="J113" s="8">
        <v>1179.7</v>
      </c>
      <c r="K113" s="8">
        <v>669.3</v>
      </c>
      <c r="L113" s="8">
        <v>814.2</v>
      </c>
      <c r="M113" s="8">
        <v>1031.0999999999999</v>
      </c>
      <c r="N113" s="8">
        <v>821.6</v>
      </c>
      <c r="O113" s="8">
        <v>6956.9</v>
      </c>
      <c r="P113" s="8">
        <v>2454.8000000000002</v>
      </c>
      <c r="Q113" s="8">
        <v>1189.0999999999999</v>
      </c>
      <c r="R113" s="8">
        <v>677.6</v>
      </c>
      <c r="S113" s="8">
        <v>825.2</v>
      </c>
      <c r="T113" s="8">
        <v>1013</v>
      </c>
      <c r="U113" s="8">
        <v>826.3</v>
      </c>
      <c r="V113" s="8">
        <v>6991.9</v>
      </c>
    </row>
    <row r="114" spans="1:22" x14ac:dyDescent="0.15">
      <c r="A114" s="9">
        <v>33178</v>
      </c>
      <c r="B114" s="8">
        <v>2553.4</v>
      </c>
      <c r="C114" s="8">
        <v>1277</v>
      </c>
      <c r="D114" s="8">
        <v>722.3</v>
      </c>
      <c r="E114" s="8">
        <v>931.5</v>
      </c>
      <c r="F114" s="8">
        <v>1066.5999999999999</v>
      </c>
      <c r="G114" s="8">
        <v>851.5</v>
      </c>
      <c r="H114" s="8">
        <v>7402.3</v>
      </c>
      <c r="I114" s="8">
        <v>2484.5</v>
      </c>
      <c r="J114" s="8">
        <v>1186.0999999999999</v>
      </c>
      <c r="K114" s="8">
        <v>679.3</v>
      </c>
      <c r="L114" s="8">
        <v>827.2</v>
      </c>
      <c r="M114" s="8">
        <v>1013</v>
      </c>
      <c r="N114" s="8">
        <v>821.2</v>
      </c>
      <c r="O114" s="8">
        <v>7011.2</v>
      </c>
      <c r="P114" s="8">
        <v>2476.6999999999998</v>
      </c>
      <c r="Q114" s="8">
        <v>1193.4000000000001</v>
      </c>
      <c r="R114" s="8">
        <v>678.8</v>
      </c>
      <c r="S114" s="8">
        <v>823.5</v>
      </c>
      <c r="T114" s="8">
        <v>1007.3</v>
      </c>
      <c r="U114" s="8">
        <v>824.9</v>
      </c>
      <c r="V114" s="8">
        <v>7009.8</v>
      </c>
    </row>
    <row r="115" spans="1:22" x14ac:dyDescent="0.15">
      <c r="A115" s="9">
        <v>33208</v>
      </c>
      <c r="B115" s="8">
        <v>2887.2</v>
      </c>
      <c r="C115" s="8">
        <v>1659.5</v>
      </c>
      <c r="D115" s="8">
        <v>985.8</v>
      </c>
      <c r="E115" s="8">
        <v>1563.1</v>
      </c>
      <c r="F115" s="8">
        <v>1373</v>
      </c>
      <c r="G115" s="8">
        <v>945.7</v>
      </c>
      <c r="H115" s="8">
        <v>9414.4</v>
      </c>
      <c r="I115" s="8">
        <v>2499.1</v>
      </c>
      <c r="J115" s="8">
        <v>1195</v>
      </c>
      <c r="K115" s="8">
        <v>681</v>
      </c>
      <c r="L115" s="8">
        <v>826.4</v>
      </c>
      <c r="M115" s="8">
        <v>987.6</v>
      </c>
      <c r="N115" s="8">
        <v>828.1</v>
      </c>
      <c r="O115" s="8">
        <v>7017.2</v>
      </c>
      <c r="P115" s="8">
        <v>2499</v>
      </c>
      <c r="Q115" s="8">
        <v>1200.2</v>
      </c>
      <c r="R115" s="8">
        <v>680.9</v>
      </c>
      <c r="S115" s="8">
        <v>824.5</v>
      </c>
      <c r="T115" s="8">
        <v>1004.2</v>
      </c>
      <c r="U115" s="8">
        <v>826.4</v>
      </c>
      <c r="V115" s="8">
        <v>7038.9</v>
      </c>
    </row>
    <row r="116" spans="1:22" x14ac:dyDescent="0.15">
      <c r="A116" s="9">
        <v>33239</v>
      </c>
      <c r="B116" s="8">
        <v>2551.9</v>
      </c>
      <c r="C116" s="8">
        <v>1147.3</v>
      </c>
      <c r="D116" s="8">
        <v>635.70000000000005</v>
      </c>
      <c r="E116" s="8">
        <v>694</v>
      </c>
      <c r="F116" s="8">
        <v>946.6</v>
      </c>
      <c r="G116" s="8">
        <v>861.7</v>
      </c>
      <c r="H116" s="8">
        <v>6837.2</v>
      </c>
      <c r="I116" s="8">
        <v>2551.1999999999998</v>
      </c>
      <c r="J116" s="8">
        <v>1204.7</v>
      </c>
      <c r="K116" s="8">
        <v>681.8</v>
      </c>
      <c r="L116" s="8">
        <v>817.3</v>
      </c>
      <c r="M116" s="8">
        <v>998.4</v>
      </c>
      <c r="N116" s="8">
        <v>832.6</v>
      </c>
      <c r="O116" s="8">
        <v>7086</v>
      </c>
      <c r="P116" s="8">
        <v>2518.6</v>
      </c>
      <c r="Q116" s="8">
        <v>1208.3</v>
      </c>
      <c r="R116" s="8">
        <v>683.6</v>
      </c>
      <c r="S116" s="8">
        <v>824.9</v>
      </c>
      <c r="T116" s="8">
        <v>1004.4</v>
      </c>
      <c r="U116" s="8">
        <v>824.6</v>
      </c>
      <c r="V116" s="8">
        <v>7065.9</v>
      </c>
    </row>
    <row r="117" spans="1:22" x14ac:dyDescent="0.15">
      <c r="A117" s="9">
        <v>33270</v>
      </c>
      <c r="B117" s="8">
        <v>2341.5</v>
      </c>
      <c r="C117" s="8">
        <v>1094.5</v>
      </c>
      <c r="D117" s="8">
        <v>551.5</v>
      </c>
      <c r="E117" s="8">
        <v>604.70000000000005</v>
      </c>
      <c r="F117" s="8">
        <v>921.3</v>
      </c>
      <c r="G117" s="8">
        <v>771.1</v>
      </c>
      <c r="H117" s="8">
        <v>6284.6</v>
      </c>
      <c r="I117" s="8">
        <v>2520.9</v>
      </c>
      <c r="J117" s="8">
        <v>1241.7</v>
      </c>
      <c r="K117" s="8">
        <v>691.5</v>
      </c>
      <c r="L117" s="8">
        <v>834.6</v>
      </c>
      <c r="M117" s="8">
        <v>1022.6</v>
      </c>
      <c r="N117" s="8">
        <v>830.4</v>
      </c>
      <c r="O117" s="8">
        <v>7141.7</v>
      </c>
      <c r="P117" s="8">
        <v>2526.6</v>
      </c>
      <c r="Q117" s="8">
        <v>1215</v>
      </c>
      <c r="R117" s="8">
        <v>686</v>
      </c>
      <c r="S117" s="8">
        <v>824</v>
      </c>
      <c r="T117" s="8">
        <v>1009.2</v>
      </c>
      <c r="U117" s="8">
        <v>825.7</v>
      </c>
      <c r="V117" s="8">
        <v>7085.3</v>
      </c>
    </row>
    <row r="118" spans="1:22" x14ac:dyDescent="0.15">
      <c r="A118" s="9">
        <v>33298</v>
      </c>
      <c r="B118" s="8">
        <v>2593.6</v>
      </c>
      <c r="C118" s="8">
        <v>1133.5</v>
      </c>
      <c r="D118" s="8">
        <v>603</v>
      </c>
      <c r="E118" s="8">
        <v>719.2</v>
      </c>
      <c r="F118" s="8">
        <v>975.4</v>
      </c>
      <c r="G118" s="8">
        <v>813.3</v>
      </c>
      <c r="H118" s="8">
        <v>6837.9</v>
      </c>
      <c r="I118" s="8">
        <v>2537</v>
      </c>
      <c r="J118" s="8">
        <v>1220.0999999999999</v>
      </c>
      <c r="K118" s="8">
        <v>686.6</v>
      </c>
      <c r="L118" s="8">
        <v>822</v>
      </c>
      <c r="M118" s="8">
        <v>1021</v>
      </c>
      <c r="N118" s="8">
        <v>819.6</v>
      </c>
      <c r="O118" s="8">
        <v>7106.4</v>
      </c>
      <c r="P118" s="8">
        <v>2533.4</v>
      </c>
      <c r="Q118" s="8">
        <v>1217.2</v>
      </c>
      <c r="R118" s="8">
        <v>688.7</v>
      </c>
      <c r="S118" s="8">
        <v>823.3</v>
      </c>
      <c r="T118" s="8">
        <v>1016.9</v>
      </c>
      <c r="U118" s="8">
        <v>827.4</v>
      </c>
      <c r="V118" s="8">
        <v>7104.5</v>
      </c>
    </row>
    <row r="119" spans="1:22" x14ac:dyDescent="0.15">
      <c r="A119" s="9">
        <v>33329</v>
      </c>
      <c r="B119" s="8">
        <v>2402.9</v>
      </c>
      <c r="C119" s="8">
        <v>1136.3</v>
      </c>
      <c r="D119" s="8">
        <v>686.3</v>
      </c>
      <c r="E119" s="8">
        <v>748.2</v>
      </c>
      <c r="F119" s="8">
        <v>938.5</v>
      </c>
      <c r="G119" s="8">
        <v>797.4</v>
      </c>
      <c r="H119" s="8">
        <v>6709.5</v>
      </c>
      <c r="I119" s="8">
        <v>2516.1</v>
      </c>
      <c r="J119" s="8">
        <v>1221.7</v>
      </c>
      <c r="K119" s="8">
        <v>700.2</v>
      </c>
      <c r="L119" s="8">
        <v>837.6</v>
      </c>
      <c r="M119" s="8">
        <v>1021.8</v>
      </c>
      <c r="N119" s="8">
        <v>824.8</v>
      </c>
      <c r="O119" s="8">
        <v>7122.2</v>
      </c>
      <c r="P119" s="8">
        <v>2538.5</v>
      </c>
      <c r="Q119" s="8">
        <v>1216.9000000000001</v>
      </c>
      <c r="R119" s="8">
        <v>691.3</v>
      </c>
      <c r="S119" s="8">
        <v>823.6</v>
      </c>
      <c r="T119" s="8">
        <v>1026.4000000000001</v>
      </c>
      <c r="U119" s="8">
        <v>829.2</v>
      </c>
      <c r="V119" s="8">
        <v>7128.8</v>
      </c>
    </row>
    <row r="120" spans="1:22" x14ac:dyDescent="0.15">
      <c r="A120" s="9">
        <v>33359</v>
      </c>
      <c r="B120" s="8">
        <v>2584.5</v>
      </c>
      <c r="C120" s="8">
        <v>1205.3</v>
      </c>
      <c r="D120" s="8">
        <v>735.1</v>
      </c>
      <c r="E120" s="8">
        <v>828.2</v>
      </c>
      <c r="F120" s="8">
        <v>1018</v>
      </c>
      <c r="G120" s="8">
        <v>820.6</v>
      </c>
      <c r="H120" s="8">
        <v>7191.7</v>
      </c>
      <c r="I120" s="8">
        <v>2551.1999999999998</v>
      </c>
      <c r="J120" s="8">
        <v>1197.9000000000001</v>
      </c>
      <c r="K120" s="8">
        <v>687.4</v>
      </c>
      <c r="L120" s="8">
        <v>816.7</v>
      </c>
      <c r="M120" s="8">
        <v>1027.3</v>
      </c>
      <c r="N120" s="8">
        <v>837.4</v>
      </c>
      <c r="O120" s="8">
        <v>7117.9</v>
      </c>
      <c r="P120" s="8">
        <v>2550.1999999999998</v>
      </c>
      <c r="Q120" s="8">
        <v>1218.3</v>
      </c>
      <c r="R120" s="8">
        <v>695.2</v>
      </c>
      <c r="S120" s="8">
        <v>826.8</v>
      </c>
      <c r="T120" s="8">
        <v>1036.2</v>
      </c>
      <c r="U120" s="8">
        <v>834</v>
      </c>
      <c r="V120" s="8">
        <v>7167.2</v>
      </c>
    </row>
    <row r="121" spans="1:22" x14ac:dyDescent="0.15">
      <c r="A121" s="9">
        <v>33390</v>
      </c>
      <c r="B121" s="8">
        <v>2410</v>
      </c>
      <c r="C121" s="8">
        <v>1110</v>
      </c>
      <c r="D121" s="8">
        <v>651.6</v>
      </c>
      <c r="E121" s="8">
        <v>746.9</v>
      </c>
      <c r="F121" s="8">
        <v>955.1</v>
      </c>
      <c r="G121" s="8">
        <v>801.3</v>
      </c>
      <c r="H121" s="8">
        <v>6674.9</v>
      </c>
      <c r="I121" s="8">
        <v>2543.6999999999998</v>
      </c>
      <c r="J121" s="8">
        <v>1200.9000000000001</v>
      </c>
      <c r="K121" s="8">
        <v>674.8</v>
      </c>
      <c r="L121" s="8">
        <v>782</v>
      </c>
      <c r="M121" s="8">
        <v>1052.4000000000001</v>
      </c>
      <c r="N121" s="8">
        <v>847</v>
      </c>
      <c r="O121" s="8">
        <v>7100.9</v>
      </c>
      <c r="P121" s="8">
        <v>2566.8000000000002</v>
      </c>
      <c r="Q121" s="8">
        <v>1224.5</v>
      </c>
      <c r="R121" s="8">
        <v>699.4</v>
      </c>
      <c r="S121" s="8">
        <v>832.7</v>
      </c>
      <c r="T121" s="8">
        <v>1046.5999999999999</v>
      </c>
      <c r="U121" s="8">
        <v>844</v>
      </c>
      <c r="V121" s="8">
        <v>7222.5</v>
      </c>
    </row>
    <row r="122" spans="1:22" x14ac:dyDescent="0.15">
      <c r="A122" s="9">
        <v>33420</v>
      </c>
      <c r="B122" s="8">
        <v>2540</v>
      </c>
      <c r="C122" s="8">
        <v>1220.0999999999999</v>
      </c>
      <c r="D122" s="8">
        <v>722.7</v>
      </c>
      <c r="E122" s="8">
        <v>794.5</v>
      </c>
      <c r="F122" s="8">
        <v>1040.2</v>
      </c>
      <c r="G122" s="8">
        <v>829.4</v>
      </c>
      <c r="H122" s="8">
        <v>7147</v>
      </c>
      <c r="I122" s="8">
        <v>2609.6</v>
      </c>
      <c r="J122" s="8">
        <v>1245.9000000000001</v>
      </c>
      <c r="K122" s="8">
        <v>737.9</v>
      </c>
      <c r="L122" s="8">
        <v>894.9</v>
      </c>
      <c r="M122" s="8">
        <v>1084.8</v>
      </c>
      <c r="N122" s="8">
        <v>851.5</v>
      </c>
      <c r="O122" s="8">
        <v>7424.6</v>
      </c>
      <c r="P122" s="8">
        <v>2587.9</v>
      </c>
      <c r="Q122" s="8">
        <v>1234.2</v>
      </c>
      <c r="R122" s="8">
        <v>706.5</v>
      </c>
      <c r="S122" s="8">
        <v>839.8</v>
      </c>
      <c r="T122" s="8">
        <v>1053.4000000000001</v>
      </c>
      <c r="U122" s="8">
        <v>859.1</v>
      </c>
      <c r="V122" s="8">
        <v>7287.5</v>
      </c>
    </row>
    <row r="123" spans="1:22" x14ac:dyDescent="0.15">
      <c r="A123" s="9">
        <v>33451</v>
      </c>
      <c r="B123" s="8">
        <v>2684</v>
      </c>
      <c r="C123" s="8">
        <v>1231.5999999999999</v>
      </c>
      <c r="D123" s="8">
        <v>664.8</v>
      </c>
      <c r="E123" s="8">
        <v>770.4</v>
      </c>
      <c r="F123" s="8">
        <v>1058.4000000000001</v>
      </c>
      <c r="G123" s="8">
        <v>853.5</v>
      </c>
      <c r="H123" s="8">
        <v>7262.7</v>
      </c>
      <c r="I123" s="8">
        <v>2629.1</v>
      </c>
      <c r="J123" s="8">
        <v>1263.9000000000001</v>
      </c>
      <c r="K123" s="8">
        <v>712.1</v>
      </c>
      <c r="L123" s="8">
        <v>843.9</v>
      </c>
      <c r="M123" s="8">
        <v>1083.4000000000001</v>
      </c>
      <c r="N123" s="8">
        <v>867.3</v>
      </c>
      <c r="O123" s="8">
        <v>7399.6</v>
      </c>
      <c r="P123" s="8">
        <v>2605.6999999999998</v>
      </c>
      <c r="Q123" s="8">
        <v>1243.0999999999999</v>
      </c>
      <c r="R123" s="8">
        <v>710</v>
      </c>
      <c r="S123" s="8">
        <v>846.7</v>
      </c>
      <c r="T123" s="8">
        <v>1062.2</v>
      </c>
      <c r="U123" s="8">
        <v>877.2</v>
      </c>
      <c r="V123" s="8">
        <v>7350.2</v>
      </c>
    </row>
    <row r="124" spans="1:22" x14ac:dyDescent="0.15">
      <c r="A124" s="9">
        <v>33482</v>
      </c>
      <c r="B124" s="8">
        <v>2452.1</v>
      </c>
      <c r="C124" s="8">
        <v>1165.5999999999999</v>
      </c>
      <c r="D124" s="8">
        <v>648.6</v>
      </c>
      <c r="E124" s="8">
        <v>741.5</v>
      </c>
      <c r="F124" s="8">
        <v>1008.2</v>
      </c>
      <c r="G124" s="8">
        <v>882</v>
      </c>
      <c r="H124" s="8">
        <v>6898.1</v>
      </c>
      <c r="I124" s="8">
        <v>2594.9</v>
      </c>
      <c r="J124" s="8">
        <v>1241.0999999999999</v>
      </c>
      <c r="K124" s="8">
        <v>696.8</v>
      </c>
      <c r="L124" s="8">
        <v>846.5</v>
      </c>
      <c r="M124" s="8">
        <v>1049.3</v>
      </c>
      <c r="N124" s="8">
        <v>891.9</v>
      </c>
      <c r="O124" s="8">
        <v>7320.6</v>
      </c>
      <c r="P124" s="8">
        <v>2617.3000000000002</v>
      </c>
      <c r="Q124" s="8">
        <v>1250.7</v>
      </c>
      <c r="R124" s="8">
        <v>712.8</v>
      </c>
      <c r="S124" s="8">
        <v>852.7</v>
      </c>
      <c r="T124" s="8">
        <v>1063</v>
      </c>
      <c r="U124" s="8">
        <v>892.3</v>
      </c>
      <c r="V124" s="8">
        <v>7396.3</v>
      </c>
    </row>
    <row r="125" spans="1:22" x14ac:dyDescent="0.15">
      <c r="A125" s="9">
        <v>33512</v>
      </c>
      <c r="B125" s="8">
        <v>2679.6</v>
      </c>
      <c r="C125" s="8">
        <v>1312.5</v>
      </c>
      <c r="D125" s="8">
        <v>753</v>
      </c>
      <c r="E125" s="8">
        <v>858.6</v>
      </c>
      <c r="F125" s="8">
        <v>1081.9000000000001</v>
      </c>
      <c r="G125" s="8">
        <v>938.9</v>
      </c>
      <c r="H125" s="8">
        <v>7624.4</v>
      </c>
      <c r="I125" s="8">
        <v>2635.7</v>
      </c>
      <c r="J125" s="8">
        <v>1270.5999999999999</v>
      </c>
      <c r="K125" s="8">
        <v>729.5</v>
      </c>
      <c r="L125" s="8">
        <v>862.2</v>
      </c>
      <c r="M125" s="8">
        <v>1068</v>
      </c>
      <c r="N125" s="8">
        <v>918.6</v>
      </c>
      <c r="O125" s="8">
        <v>7484.6</v>
      </c>
      <c r="P125" s="8">
        <v>2623.1</v>
      </c>
      <c r="Q125" s="8">
        <v>1251.0999999999999</v>
      </c>
      <c r="R125" s="8">
        <v>717.1</v>
      </c>
      <c r="S125" s="8">
        <v>856.5</v>
      </c>
      <c r="T125" s="8">
        <v>1065.9000000000001</v>
      </c>
      <c r="U125" s="8">
        <v>903.6</v>
      </c>
      <c r="V125" s="8">
        <v>7420.6</v>
      </c>
    </row>
    <row r="126" spans="1:22" x14ac:dyDescent="0.15">
      <c r="A126" s="9">
        <v>33543</v>
      </c>
      <c r="B126" s="8">
        <v>2693.4</v>
      </c>
      <c r="C126" s="8">
        <v>1343.1</v>
      </c>
      <c r="D126" s="8">
        <v>740.7</v>
      </c>
      <c r="E126" s="8">
        <v>944.7</v>
      </c>
      <c r="F126" s="8">
        <v>1128.7</v>
      </c>
      <c r="G126" s="8">
        <v>953.8</v>
      </c>
      <c r="H126" s="8">
        <v>7804.4</v>
      </c>
      <c r="I126" s="8">
        <v>2636.7</v>
      </c>
      <c r="J126" s="8">
        <v>1252.3</v>
      </c>
      <c r="K126" s="8">
        <v>707.7</v>
      </c>
      <c r="L126" s="8">
        <v>842.1</v>
      </c>
      <c r="M126" s="8">
        <v>1069.5999999999999</v>
      </c>
      <c r="N126" s="8">
        <v>928</v>
      </c>
      <c r="O126" s="8">
        <v>7436.5</v>
      </c>
      <c r="P126" s="8">
        <v>2627.1</v>
      </c>
      <c r="Q126" s="8">
        <v>1247.2</v>
      </c>
      <c r="R126" s="8">
        <v>719.9</v>
      </c>
      <c r="S126" s="8">
        <v>858.1</v>
      </c>
      <c r="T126" s="8">
        <v>1069.0999999999999</v>
      </c>
      <c r="U126" s="8">
        <v>910.8</v>
      </c>
      <c r="V126" s="8">
        <v>7432.9</v>
      </c>
    </row>
    <row r="127" spans="1:22" x14ac:dyDescent="0.15">
      <c r="A127" s="9">
        <v>33573</v>
      </c>
      <c r="B127" s="8">
        <v>2984.8</v>
      </c>
      <c r="C127" s="8">
        <v>1660.7</v>
      </c>
      <c r="D127" s="8">
        <v>1046.5</v>
      </c>
      <c r="E127" s="8">
        <v>1600.3</v>
      </c>
      <c r="F127" s="8">
        <v>1473.1</v>
      </c>
      <c r="G127" s="8">
        <v>1048.3</v>
      </c>
      <c r="H127" s="8">
        <v>9813.7000000000007</v>
      </c>
      <c r="I127" s="8">
        <v>2620.8000000000002</v>
      </c>
      <c r="J127" s="8">
        <v>1216</v>
      </c>
      <c r="K127" s="8">
        <v>724.9</v>
      </c>
      <c r="L127" s="8">
        <v>864.9</v>
      </c>
      <c r="M127" s="8">
        <v>1064.2</v>
      </c>
      <c r="N127" s="8">
        <v>919.9</v>
      </c>
      <c r="O127" s="8">
        <v>7410.7</v>
      </c>
      <c r="P127" s="8">
        <v>2634.1</v>
      </c>
      <c r="Q127" s="8">
        <v>1244.3</v>
      </c>
      <c r="R127" s="8">
        <v>723.7</v>
      </c>
      <c r="S127" s="8">
        <v>858.9</v>
      </c>
      <c r="T127" s="8">
        <v>1075.9000000000001</v>
      </c>
      <c r="U127" s="8">
        <v>917.1</v>
      </c>
      <c r="V127" s="8">
        <v>7450.4</v>
      </c>
    </row>
    <row r="128" spans="1:22" x14ac:dyDescent="0.15">
      <c r="A128" s="9">
        <v>33604</v>
      </c>
      <c r="B128" s="8">
        <v>2684.5</v>
      </c>
      <c r="C128" s="8">
        <v>1203.5</v>
      </c>
      <c r="D128" s="8">
        <v>695.3</v>
      </c>
      <c r="E128" s="8">
        <v>740</v>
      </c>
      <c r="F128" s="8">
        <v>1043.7</v>
      </c>
      <c r="G128" s="8">
        <v>938.3</v>
      </c>
      <c r="H128" s="8">
        <v>7305.3</v>
      </c>
      <c r="I128" s="8">
        <v>2633.7</v>
      </c>
      <c r="J128" s="8">
        <v>1239.2</v>
      </c>
      <c r="K128" s="8">
        <v>733</v>
      </c>
      <c r="L128" s="8">
        <v>866.3</v>
      </c>
      <c r="M128" s="8">
        <v>1089.7</v>
      </c>
      <c r="N128" s="8">
        <v>902.2</v>
      </c>
      <c r="O128" s="8">
        <v>7464.1</v>
      </c>
      <c r="P128" s="8">
        <v>2645.3</v>
      </c>
      <c r="Q128" s="8">
        <v>1245.8</v>
      </c>
      <c r="R128" s="8">
        <v>727.9</v>
      </c>
      <c r="S128" s="8">
        <v>861.6</v>
      </c>
      <c r="T128" s="8">
        <v>1082.3</v>
      </c>
      <c r="U128" s="8">
        <v>919.9</v>
      </c>
      <c r="V128" s="8">
        <v>7484.3</v>
      </c>
    </row>
    <row r="129" spans="1:22" x14ac:dyDescent="0.15">
      <c r="A129" s="9">
        <v>33635</v>
      </c>
      <c r="B129" s="8">
        <v>2562.4</v>
      </c>
      <c r="C129" s="8">
        <v>1143.3</v>
      </c>
      <c r="D129" s="8">
        <v>611.4</v>
      </c>
      <c r="E129" s="8">
        <v>665.9</v>
      </c>
      <c r="F129" s="8">
        <v>1003.6</v>
      </c>
      <c r="G129" s="8">
        <v>861.5</v>
      </c>
      <c r="H129" s="8">
        <v>6848.2</v>
      </c>
      <c r="I129" s="8">
        <v>2646</v>
      </c>
      <c r="J129" s="8">
        <v>1251.7</v>
      </c>
      <c r="K129" s="8">
        <v>736.5</v>
      </c>
      <c r="L129" s="8">
        <v>871.3</v>
      </c>
      <c r="M129" s="8">
        <v>1082.0999999999999</v>
      </c>
      <c r="N129" s="8">
        <v>895.4</v>
      </c>
      <c r="O129" s="8">
        <v>7483.1</v>
      </c>
      <c r="P129" s="8">
        <v>2665.4</v>
      </c>
      <c r="Q129" s="8">
        <v>1255.4000000000001</v>
      </c>
      <c r="R129" s="8">
        <v>733.6</v>
      </c>
      <c r="S129" s="8">
        <v>866.2</v>
      </c>
      <c r="T129" s="8">
        <v>1089</v>
      </c>
      <c r="U129" s="8">
        <v>926.8</v>
      </c>
      <c r="V129" s="8">
        <v>7533.9</v>
      </c>
    </row>
    <row r="130" spans="1:22" x14ac:dyDescent="0.15">
      <c r="A130" s="9">
        <v>33664</v>
      </c>
      <c r="B130" s="8">
        <v>2643.1</v>
      </c>
      <c r="C130" s="8">
        <v>1199.5</v>
      </c>
      <c r="D130" s="8">
        <v>645.5</v>
      </c>
      <c r="E130" s="8">
        <v>701.5</v>
      </c>
      <c r="F130" s="8">
        <v>1038.9000000000001</v>
      </c>
      <c r="G130" s="8">
        <v>936.1</v>
      </c>
      <c r="H130" s="8">
        <v>7164.6</v>
      </c>
      <c r="I130" s="8">
        <v>2704.9</v>
      </c>
      <c r="J130" s="8">
        <v>1273.4000000000001</v>
      </c>
      <c r="K130" s="8">
        <v>729.2</v>
      </c>
      <c r="L130" s="8">
        <v>853.4</v>
      </c>
      <c r="M130" s="8">
        <v>1095.4000000000001</v>
      </c>
      <c r="N130" s="8">
        <v>943.6</v>
      </c>
      <c r="O130" s="8">
        <v>7599.8</v>
      </c>
      <c r="P130" s="8">
        <v>2684.9</v>
      </c>
      <c r="Q130" s="8">
        <v>1264.5999999999999</v>
      </c>
      <c r="R130" s="8">
        <v>736.1</v>
      </c>
      <c r="S130" s="8">
        <v>869</v>
      </c>
      <c r="T130" s="8">
        <v>1092.4000000000001</v>
      </c>
      <c r="U130" s="8">
        <v>930.8</v>
      </c>
      <c r="V130" s="8">
        <v>7580.6</v>
      </c>
    </row>
    <row r="131" spans="1:22" x14ac:dyDescent="0.15">
      <c r="A131" s="9">
        <v>33695</v>
      </c>
      <c r="B131" s="8">
        <v>2707.1</v>
      </c>
      <c r="C131" s="8">
        <v>1206.7</v>
      </c>
      <c r="D131" s="8">
        <v>721.6</v>
      </c>
      <c r="E131" s="8">
        <v>831.4</v>
      </c>
      <c r="F131" s="8">
        <v>1036.8</v>
      </c>
      <c r="G131" s="8">
        <v>932</v>
      </c>
      <c r="H131" s="8">
        <v>7435.5</v>
      </c>
      <c r="I131" s="8">
        <v>2718.6</v>
      </c>
      <c r="J131" s="8">
        <v>1301.9000000000001</v>
      </c>
      <c r="K131" s="8">
        <v>733.1</v>
      </c>
      <c r="L131" s="8">
        <v>870.7</v>
      </c>
      <c r="M131" s="8">
        <v>1110.3</v>
      </c>
      <c r="N131" s="8">
        <v>949.9</v>
      </c>
      <c r="O131" s="8">
        <v>7684.5</v>
      </c>
      <c r="P131" s="8">
        <v>2706.3</v>
      </c>
      <c r="Q131" s="8">
        <v>1273.4000000000001</v>
      </c>
      <c r="R131" s="8">
        <v>736.8</v>
      </c>
      <c r="S131" s="8">
        <v>870</v>
      </c>
      <c r="T131" s="8">
        <v>1091.3</v>
      </c>
      <c r="U131" s="8">
        <v>935.1</v>
      </c>
      <c r="V131" s="8">
        <v>7613</v>
      </c>
    </row>
    <row r="132" spans="1:22" x14ac:dyDescent="0.15">
      <c r="A132" s="9">
        <v>33725</v>
      </c>
      <c r="B132" s="8">
        <v>2697.5</v>
      </c>
      <c r="C132" s="8">
        <v>1228.4000000000001</v>
      </c>
      <c r="D132" s="8">
        <v>769.2</v>
      </c>
      <c r="E132" s="8">
        <v>878.6</v>
      </c>
      <c r="F132" s="8">
        <v>1048.2</v>
      </c>
      <c r="G132" s="8">
        <v>929.4</v>
      </c>
      <c r="H132" s="8">
        <v>7551.4</v>
      </c>
      <c r="I132" s="8">
        <v>2723.9</v>
      </c>
      <c r="J132" s="8">
        <v>1267.5</v>
      </c>
      <c r="K132" s="8">
        <v>745.8</v>
      </c>
      <c r="L132" s="8">
        <v>885</v>
      </c>
      <c r="M132" s="8">
        <v>1088.5</v>
      </c>
      <c r="N132" s="8">
        <v>960.9</v>
      </c>
      <c r="O132" s="8">
        <v>7671.5</v>
      </c>
      <c r="P132" s="8">
        <v>2724.6</v>
      </c>
      <c r="Q132" s="8">
        <v>1275.7</v>
      </c>
      <c r="R132" s="8">
        <v>735.1</v>
      </c>
      <c r="S132" s="8">
        <v>869.3</v>
      </c>
      <c r="T132" s="8">
        <v>1086.5</v>
      </c>
      <c r="U132" s="8">
        <v>936.3</v>
      </c>
      <c r="V132" s="8">
        <v>7627</v>
      </c>
    </row>
    <row r="133" spans="1:22" x14ac:dyDescent="0.15">
      <c r="A133" s="9">
        <v>33756</v>
      </c>
      <c r="B133" s="8">
        <v>2584.1999999999998</v>
      </c>
      <c r="C133" s="8">
        <v>1199.3</v>
      </c>
      <c r="D133" s="8">
        <v>721</v>
      </c>
      <c r="E133" s="8">
        <v>826</v>
      </c>
      <c r="F133" s="8">
        <v>981.7</v>
      </c>
      <c r="G133" s="8">
        <v>868.5</v>
      </c>
      <c r="H133" s="8">
        <v>7180.7</v>
      </c>
      <c r="I133" s="8">
        <v>2734</v>
      </c>
      <c r="J133" s="8">
        <v>1262.9000000000001</v>
      </c>
      <c r="K133" s="8">
        <v>733.8</v>
      </c>
      <c r="L133" s="8">
        <v>874.2</v>
      </c>
      <c r="M133" s="8">
        <v>1071.7</v>
      </c>
      <c r="N133" s="8">
        <v>921</v>
      </c>
      <c r="O133" s="8">
        <v>7597.5</v>
      </c>
      <c r="P133" s="8">
        <v>2735.9</v>
      </c>
      <c r="Q133" s="8">
        <v>1279</v>
      </c>
      <c r="R133" s="8">
        <v>731.5</v>
      </c>
      <c r="S133" s="8">
        <v>869</v>
      </c>
      <c r="T133" s="8">
        <v>1082.5999999999999</v>
      </c>
      <c r="U133" s="8">
        <v>928.7</v>
      </c>
      <c r="V133" s="8">
        <v>7626.4</v>
      </c>
    </row>
    <row r="134" spans="1:22" x14ac:dyDescent="0.15">
      <c r="A134" s="9">
        <v>33786</v>
      </c>
      <c r="B134" s="8">
        <v>2754.7</v>
      </c>
      <c r="C134" s="8">
        <v>1278.9000000000001</v>
      </c>
      <c r="D134" s="8">
        <v>729.6</v>
      </c>
      <c r="E134" s="8">
        <v>788.2</v>
      </c>
      <c r="F134" s="8">
        <v>1044.4000000000001</v>
      </c>
      <c r="G134" s="8">
        <v>891.3</v>
      </c>
      <c r="H134" s="8">
        <v>7487</v>
      </c>
      <c r="I134" s="8">
        <v>2744.4</v>
      </c>
      <c r="J134" s="8">
        <v>1293.4000000000001</v>
      </c>
      <c r="K134" s="8">
        <v>735.4</v>
      </c>
      <c r="L134" s="8">
        <v>861.5</v>
      </c>
      <c r="M134" s="8">
        <v>1077.4000000000001</v>
      </c>
      <c r="N134" s="8">
        <v>905.6</v>
      </c>
      <c r="O134" s="8">
        <v>7617.6</v>
      </c>
      <c r="P134" s="8">
        <v>2742.1</v>
      </c>
      <c r="Q134" s="8">
        <v>1282.0999999999999</v>
      </c>
      <c r="R134" s="8">
        <v>726.6</v>
      </c>
      <c r="S134" s="8">
        <v>869.9</v>
      </c>
      <c r="T134" s="8">
        <v>1080.7</v>
      </c>
      <c r="U134" s="8">
        <v>922.1</v>
      </c>
      <c r="V134" s="8">
        <v>7621.5</v>
      </c>
    </row>
    <row r="135" spans="1:22" x14ac:dyDescent="0.15">
      <c r="A135" s="9">
        <v>33817</v>
      </c>
      <c r="B135" s="8">
        <v>2670.5</v>
      </c>
      <c r="C135" s="8">
        <v>1194.8</v>
      </c>
      <c r="D135" s="8">
        <v>633.79999999999995</v>
      </c>
      <c r="E135" s="8">
        <v>723.6</v>
      </c>
      <c r="F135" s="8">
        <v>1021.1</v>
      </c>
      <c r="G135" s="8">
        <v>875.5</v>
      </c>
      <c r="H135" s="8">
        <v>7119.3</v>
      </c>
      <c r="I135" s="8">
        <v>2733.6</v>
      </c>
      <c r="J135" s="8">
        <v>1265.0999999999999</v>
      </c>
      <c r="K135" s="8">
        <v>704.3</v>
      </c>
      <c r="L135" s="8">
        <v>850.7</v>
      </c>
      <c r="M135" s="8">
        <v>1068</v>
      </c>
      <c r="N135" s="8">
        <v>902.3</v>
      </c>
      <c r="O135" s="8">
        <v>7523.9</v>
      </c>
      <c r="P135" s="8">
        <v>2743.2</v>
      </c>
      <c r="Q135" s="8">
        <v>1288.5</v>
      </c>
      <c r="R135" s="8">
        <v>720.3</v>
      </c>
      <c r="S135" s="8">
        <v>872.1</v>
      </c>
      <c r="T135" s="8">
        <v>1083.9000000000001</v>
      </c>
      <c r="U135" s="8">
        <v>914.6</v>
      </c>
      <c r="V135" s="8">
        <v>7623.8</v>
      </c>
    </row>
    <row r="136" spans="1:22" x14ac:dyDescent="0.15">
      <c r="A136" s="9">
        <v>33848</v>
      </c>
      <c r="B136" s="8">
        <v>2665.6</v>
      </c>
      <c r="C136" s="8">
        <v>1260.5999999999999</v>
      </c>
      <c r="D136" s="8">
        <v>668.4</v>
      </c>
      <c r="E136" s="8">
        <v>819.8</v>
      </c>
      <c r="F136" s="8">
        <v>1077.5</v>
      </c>
      <c r="G136" s="8">
        <v>914.1</v>
      </c>
      <c r="H136" s="8">
        <v>7406</v>
      </c>
      <c r="I136" s="8">
        <v>2754.6</v>
      </c>
      <c r="J136" s="8">
        <v>1302.3</v>
      </c>
      <c r="K136" s="8">
        <v>703.6</v>
      </c>
      <c r="L136" s="8">
        <v>884.2</v>
      </c>
      <c r="M136" s="8">
        <v>1092.3</v>
      </c>
      <c r="N136" s="8">
        <v>919.4</v>
      </c>
      <c r="O136" s="8">
        <v>7656.5</v>
      </c>
      <c r="P136" s="8">
        <v>2744.2</v>
      </c>
      <c r="Q136" s="8">
        <v>1298.3</v>
      </c>
      <c r="R136" s="8">
        <v>715.6</v>
      </c>
      <c r="S136" s="8">
        <v>875.5</v>
      </c>
      <c r="T136" s="8">
        <v>1092.5</v>
      </c>
      <c r="U136" s="8">
        <v>911.2</v>
      </c>
      <c r="V136" s="8">
        <v>7638.4</v>
      </c>
    </row>
    <row r="137" spans="1:22" x14ac:dyDescent="0.15">
      <c r="A137" s="9">
        <v>33878</v>
      </c>
      <c r="B137" s="8">
        <v>2858.5</v>
      </c>
      <c r="C137" s="8">
        <v>1379.7</v>
      </c>
      <c r="D137" s="8">
        <v>747.9</v>
      </c>
      <c r="E137" s="8">
        <v>902.5</v>
      </c>
      <c r="F137" s="8">
        <v>1121.8</v>
      </c>
      <c r="G137" s="8">
        <v>935.7</v>
      </c>
      <c r="H137" s="8">
        <v>7946.1</v>
      </c>
      <c r="I137" s="8">
        <v>2755.2</v>
      </c>
      <c r="J137" s="8">
        <v>1334.5</v>
      </c>
      <c r="K137" s="8">
        <v>723.7</v>
      </c>
      <c r="L137" s="8">
        <v>887.1</v>
      </c>
      <c r="M137" s="8">
        <v>1109.5</v>
      </c>
      <c r="N137" s="8">
        <v>913.8</v>
      </c>
      <c r="O137" s="8">
        <v>7723.9</v>
      </c>
      <c r="P137" s="8">
        <v>2748.4</v>
      </c>
      <c r="Q137" s="8">
        <v>1311.4</v>
      </c>
      <c r="R137" s="8">
        <v>714.8</v>
      </c>
      <c r="S137" s="8">
        <v>880</v>
      </c>
      <c r="T137" s="8">
        <v>1101</v>
      </c>
      <c r="U137" s="8">
        <v>910</v>
      </c>
      <c r="V137" s="8">
        <v>7664.7</v>
      </c>
    </row>
    <row r="138" spans="1:22" x14ac:dyDescent="0.15">
      <c r="A138" s="9">
        <v>33909</v>
      </c>
      <c r="B138" s="8">
        <v>2700.6</v>
      </c>
      <c r="C138" s="8">
        <v>1382.2</v>
      </c>
      <c r="D138" s="8">
        <v>734</v>
      </c>
      <c r="E138" s="8">
        <v>968.6</v>
      </c>
      <c r="F138" s="8">
        <v>1169.8</v>
      </c>
      <c r="G138" s="8">
        <v>931.8</v>
      </c>
      <c r="H138" s="8">
        <v>7887</v>
      </c>
      <c r="I138" s="8">
        <v>2749.3</v>
      </c>
      <c r="J138" s="8">
        <v>1324</v>
      </c>
      <c r="K138" s="8">
        <v>720.5</v>
      </c>
      <c r="L138" s="8">
        <v>906.5</v>
      </c>
      <c r="M138" s="8">
        <v>1126.5999999999999</v>
      </c>
      <c r="N138" s="8">
        <v>911.4</v>
      </c>
      <c r="O138" s="8">
        <v>7738.4</v>
      </c>
      <c r="P138" s="8">
        <v>2755.5</v>
      </c>
      <c r="Q138" s="8">
        <v>1323</v>
      </c>
      <c r="R138" s="8">
        <v>713.6</v>
      </c>
      <c r="S138" s="8">
        <v>884.7</v>
      </c>
      <c r="T138" s="8">
        <v>1108.8</v>
      </c>
      <c r="U138" s="8">
        <v>909.5</v>
      </c>
      <c r="V138" s="8">
        <v>7693.7</v>
      </c>
    </row>
    <row r="139" spans="1:22" x14ac:dyDescent="0.15">
      <c r="A139" s="9">
        <v>33939</v>
      </c>
      <c r="B139" s="8">
        <v>3221.5</v>
      </c>
      <c r="C139" s="8">
        <v>1817.1</v>
      </c>
      <c r="D139" s="8">
        <v>1060.3</v>
      </c>
      <c r="E139" s="8">
        <v>1650.9</v>
      </c>
      <c r="F139" s="8">
        <v>1584.1</v>
      </c>
      <c r="G139" s="8">
        <v>1045.8</v>
      </c>
      <c r="H139" s="8">
        <v>10379.6</v>
      </c>
      <c r="I139" s="8">
        <v>2738.4</v>
      </c>
      <c r="J139" s="8">
        <v>1307.4000000000001</v>
      </c>
      <c r="K139" s="8">
        <v>710.5</v>
      </c>
      <c r="L139" s="8">
        <v>852.3</v>
      </c>
      <c r="M139" s="8">
        <v>1117.8</v>
      </c>
      <c r="N139" s="8">
        <v>907</v>
      </c>
      <c r="O139" s="8">
        <v>7633.4</v>
      </c>
      <c r="P139" s="8">
        <v>2764.9</v>
      </c>
      <c r="Q139" s="8">
        <v>1334.3</v>
      </c>
      <c r="R139" s="8">
        <v>711.4</v>
      </c>
      <c r="S139" s="8">
        <v>887.6</v>
      </c>
      <c r="T139" s="8">
        <v>1112.3</v>
      </c>
      <c r="U139" s="8">
        <v>904.5</v>
      </c>
      <c r="V139" s="8">
        <v>7718.5</v>
      </c>
    </row>
    <row r="140" spans="1:22" x14ac:dyDescent="0.15">
      <c r="A140" s="9">
        <v>33970</v>
      </c>
      <c r="B140" s="8">
        <v>2789.1</v>
      </c>
      <c r="C140" s="8">
        <v>1292.7</v>
      </c>
      <c r="D140" s="8">
        <v>663.8</v>
      </c>
      <c r="E140" s="8">
        <v>762.1</v>
      </c>
      <c r="F140" s="8">
        <v>1030.4000000000001</v>
      </c>
      <c r="G140" s="8">
        <v>917.8</v>
      </c>
      <c r="H140" s="8">
        <v>7455.9</v>
      </c>
      <c r="I140" s="8">
        <v>2789.4</v>
      </c>
      <c r="J140" s="8">
        <v>1363.8</v>
      </c>
      <c r="K140" s="8">
        <v>711.6</v>
      </c>
      <c r="L140" s="8">
        <v>910</v>
      </c>
      <c r="M140" s="8">
        <v>1101.8</v>
      </c>
      <c r="N140" s="8">
        <v>894</v>
      </c>
      <c r="O140" s="8">
        <v>7770.5</v>
      </c>
      <c r="P140" s="8">
        <v>2780.4</v>
      </c>
      <c r="Q140" s="8">
        <v>1348.5</v>
      </c>
      <c r="R140" s="8">
        <v>707.9</v>
      </c>
      <c r="S140" s="8">
        <v>890.9</v>
      </c>
      <c r="T140" s="8">
        <v>1115.7</v>
      </c>
      <c r="U140" s="8">
        <v>898.6</v>
      </c>
      <c r="V140" s="8">
        <v>7741</v>
      </c>
    </row>
    <row r="141" spans="1:22" x14ac:dyDescent="0.15">
      <c r="A141" s="9">
        <v>34001</v>
      </c>
      <c r="B141" s="8">
        <v>2610.6</v>
      </c>
      <c r="C141" s="8">
        <v>1190.4000000000001</v>
      </c>
      <c r="D141" s="8">
        <v>568.29999999999995</v>
      </c>
      <c r="E141" s="8">
        <v>643</v>
      </c>
      <c r="F141" s="8">
        <v>982.5</v>
      </c>
      <c r="G141" s="8">
        <v>838.1</v>
      </c>
      <c r="H141" s="8">
        <v>6833</v>
      </c>
      <c r="I141" s="8">
        <v>2810.9</v>
      </c>
      <c r="J141" s="8">
        <v>1345.8</v>
      </c>
      <c r="K141" s="8">
        <v>707.3</v>
      </c>
      <c r="L141" s="8">
        <v>886.1</v>
      </c>
      <c r="M141" s="8">
        <v>1099.3</v>
      </c>
      <c r="N141" s="8">
        <v>905.2</v>
      </c>
      <c r="O141" s="8">
        <v>7754.6</v>
      </c>
      <c r="P141" s="8">
        <v>2798</v>
      </c>
      <c r="Q141" s="8">
        <v>1358.1</v>
      </c>
      <c r="R141" s="8">
        <v>705.5</v>
      </c>
      <c r="S141" s="8">
        <v>894.7</v>
      </c>
      <c r="T141" s="8">
        <v>1118.8</v>
      </c>
      <c r="U141" s="8">
        <v>890.5</v>
      </c>
      <c r="V141" s="8">
        <v>7765.1</v>
      </c>
    </row>
    <row r="142" spans="1:22" x14ac:dyDescent="0.15">
      <c r="A142" s="9">
        <v>34029</v>
      </c>
      <c r="B142" s="8">
        <v>2795.8</v>
      </c>
      <c r="C142" s="8">
        <v>1346.6</v>
      </c>
      <c r="D142" s="8">
        <v>634.5</v>
      </c>
      <c r="E142" s="8">
        <v>754.1</v>
      </c>
      <c r="F142" s="8">
        <v>1096.5999999999999</v>
      </c>
      <c r="G142" s="8">
        <v>869.8</v>
      </c>
      <c r="H142" s="8">
        <v>7497.4</v>
      </c>
      <c r="I142" s="8">
        <v>2812</v>
      </c>
      <c r="J142" s="8">
        <v>1382.8</v>
      </c>
      <c r="K142" s="8">
        <v>702.2</v>
      </c>
      <c r="L142" s="8">
        <v>898</v>
      </c>
      <c r="M142" s="8">
        <v>1130.9000000000001</v>
      </c>
      <c r="N142" s="8">
        <v>869.5</v>
      </c>
      <c r="O142" s="8">
        <v>7795.4</v>
      </c>
      <c r="P142" s="8">
        <v>2816.7</v>
      </c>
      <c r="Q142" s="8">
        <v>1365.7</v>
      </c>
      <c r="R142" s="8">
        <v>702</v>
      </c>
      <c r="S142" s="8">
        <v>897.8</v>
      </c>
      <c r="T142" s="8">
        <v>1124.0999999999999</v>
      </c>
      <c r="U142" s="8">
        <v>882.8</v>
      </c>
      <c r="V142" s="8">
        <v>7789.1</v>
      </c>
    </row>
    <row r="143" spans="1:22" x14ac:dyDescent="0.15">
      <c r="A143" s="9">
        <v>34060</v>
      </c>
      <c r="B143" s="8">
        <v>2832.7</v>
      </c>
      <c r="C143" s="8">
        <v>1274.5</v>
      </c>
      <c r="D143" s="8">
        <v>668</v>
      </c>
      <c r="E143" s="8">
        <v>840.7</v>
      </c>
      <c r="F143" s="8">
        <v>1061.8</v>
      </c>
      <c r="G143" s="8">
        <v>862.1</v>
      </c>
      <c r="H143" s="8">
        <v>7539.8</v>
      </c>
      <c r="I143" s="8">
        <v>2831.1</v>
      </c>
      <c r="J143" s="8">
        <v>1375.3</v>
      </c>
      <c r="K143" s="8">
        <v>677.7</v>
      </c>
      <c r="L143" s="8">
        <v>888.9</v>
      </c>
      <c r="M143" s="8">
        <v>1141.5999999999999</v>
      </c>
      <c r="N143" s="8">
        <v>877.5</v>
      </c>
      <c r="O143" s="8">
        <v>7792.1</v>
      </c>
      <c r="P143" s="8">
        <v>2830.2</v>
      </c>
      <c r="Q143" s="8">
        <v>1371.2</v>
      </c>
      <c r="R143" s="8">
        <v>701</v>
      </c>
      <c r="S143" s="8">
        <v>898.3</v>
      </c>
      <c r="T143" s="8">
        <v>1130.0999999999999</v>
      </c>
      <c r="U143" s="8">
        <v>879.9</v>
      </c>
      <c r="V143" s="8">
        <v>7811.2</v>
      </c>
    </row>
    <row r="144" spans="1:22" x14ac:dyDescent="0.15">
      <c r="A144" s="9">
        <v>34090</v>
      </c>
      <c r="B144" s="8">
        <v>2773.6</v>
      </c>
      <c r="C144" s="8">
        <v>1324.2</v>
      </c>
      <c r="D144" s="8">
        <v>723</v>
      </c>
      <c r="E144" s="8">
        <v>906.6</v>
      </c>
      <c r="F144" s="8">
        <v>1095.7</v>
      </c>
      <c r="G144" s="8">
        <v>852.1</v>
      </c>
      <c r="H144" s="8">
        <v>7675.2</v>
      </c>
      <c r="I144" s="8">
        <v>2843.7</v>
      </c>
      <c r="J144" s="8">
        <v>1376.2</v>
      </c>
      <c r="K144" s="8">
        <v>709.5</v>
      </c>
      <c r="L144" s="8">
        <v>911.6</v>
      </c>
      <c r="M144" s="8">
        <v>1147.8</v>
      </c>
      <c r="N144" s="8">
        <v>880.1</v>
      </c>
      <c r="O144" s="8">
        <v>7868.8</v>
      </c>
      <c r="P144" s="8">
        <v>2839</v>
      </c>
      <c r="Q144" s="8">
        <v>1373.9</v>
      </c>
      <c r="R144" s="8">
        <v>704.4</v>
      </c>
      <c r="S144" s="8">
        <v>895</v>
      </c>
      <c r="T144" s="8">
        <v>1135.8</v>
      </c>
      <c r="U144" s="8">
        <v>878.3</v>
      </c>
      <c r="V144" s="8">
        <v>7825.1</v>
      </c>
    </row>
    <row r="145" spans="1:22" x14ac:dyDescent="0.15">
      <c r="A145" s="9">
        <v>34121</v>
      </c>
      <c r="B145" s="8">
        <v>2714.1</v>
      </c>
      <c r="C145" s="8">
        <v>1308.5999999999999</v>
      </c>
      <c r="D145" s="8">
        <v>711.5</v>
      </c>
      <c r="E145" s="8">
        <v>887.1</v>
      </c>
      <c r="F145" s="8">
        <v>1059</v>
      </c>
      <c r="G145" s="8">
        <v>827.6</v>
      </c>
      <c r="H145" s="8">
        <v>7507.9</v>
      </c>
      <c r="I145" s="8">
        <v>2844.1</v>
      </c>
      <c r="J145" s="8">
        <v>1364.3</v>
      </c>
      <c r="K145" s="8">
        <v>722.6</v>
      </c>
      <c r="L145" s="8">
        <v>930.9</v>
      </c>
      <c r="M145" s="8">
        <v>1136.8</v>
      </c>
      <c r="N145" s="8">
        <v>876.9</v>
      </c>
      <c r="O145" s="8">
        <v>7875.6</v>
      </c>
      <c r="P145" s="8">
        <v>2843.1</v>
      </c>
      <c r="Q145" s="8">
        <v>1374.3</v>
      </c>
      <c r="R145" s="8">
        <v>707</v>
      </c>
      <c r="S145" s="8">
        <v>889.6</v>
      </c>
      <c r="T145" s="8">
        <v>1142.2</v>
      </c>
      <c r="U145" s="8">
        <v>881.3</v>
      </c>
      <c r="V145" s="8">
        <v>7834.7</v>
      </c>
    </row>
    <row r="146" spans="1:22" x14ac:dyDescent="0.15">
      <c r="A146" s="9">
        <v>34151</v>
      </c>
      <c r="B146" s="8">
        <v>2876.2</v>
      </c>
      <c r="C146" s="8">
        <v>1345.9</v>
      </c>
      <c r="D146" s="8">
        <v>702.8</v>
      </c>
      <c r="E146" s="8">
        <v>771.5</v>
      </c>
      <c r="F146" s="8">
        <v>1095.5999999999999</v>
      </c>
      <c r="G146" s="8">
        <v>882.3</v>
      </c>
      <c r="H146" s="8">
        <v>7674.2</v>
      </c>
      <c r="I146" s="8">
        <v>2860</v>
      </c>
      <c r="J146" s="8">
        <v>1376.2</v>
      </c>
      <c r="K146" s="8">
        <v>711.7</v>
      </c>
      <c r="L146" s="8">
        <v>830.7</v>
      </c>
      <c r="M146" s="8">
        <v>1143.5</v>
      </c>
      <c r="N146" s="8">
        <v>896.7</v>
      </c>
      <c r="O146" s="8">
        <v>7818.8</v>
      </c>
      <c r="P146" s="8">
        <v>2844.4</v>
      </c>
      <c r="Q146" s="8">
        <v>1377.9</v>
      </c>
      <c r="R146" s="8">
        <v>709.8</v>
      </c>
      <c r="S146" s="8">
        <v>884.8</v>
      </c>
      <c r="T146" s="8">
        <v>1149.7</v>
      </c>
      <c r="U146" s="8">
        <v>886.8</v>
      </c>
      <c r="V146" s="8">
        <v>7853</v>
      </c>
    </row>
    <row r="147" spans="1:22" x14ac:dyDescent="0.15">
      <c r="A147" s="9">
        <v>34182</v>
      </c>
      <c r="B147" s="8">
        <v>2734</v>
      </c>
      <c r="C147" s="8">
        <v>1300.5</v>
      </c>
      <c r="D147" s="8">
        <v>639.9</v>
      </c>
      <c r="E147" s="8">
        <v>728.7</v>
      </c>
      <c r="F147" s="8">
        <v>1091.5999999999999</v>
      </c>
      <c r="G147" s="8">
        <v>866.9</v>
      </c>
      <c r="H147" s="8">
        <v>7361.4</v>
      </c>
      <c r="I147" s="8">
        <v>2824.9</v>
      </c>
      <c r="J147" s="8">
        <v>1377.4</v>
      </c>
      <c r="K147" s="8">
        <v>707.3</v>
      </c>
      <c r="L147" s="8">
        <v>872.5</v>
      </c>
      <c r="M147" s="8">
        <v>1140.7</v>
      </c>
      <c r="N147" s="8">
        <v>892.8</v>
      </c>
      <c r="O147" s="8">
        <v>7815.7</v>
      </c>
      <c r="P147" s="8">
        <v>2848.2</v>
      </c>
      <c r="Q147" s="8">
        <v>1389.1</v>
      </c>
      <c r="R147" s="8">
        <v>709.6</v>
      </c>
      <c r="S147" s="8">
        <v>882.6</v>
      </c>
      <c r="T147" s="8">
        <v>1160.2</v>
      </c>
      <c r="U147" s="8">
        <v>896.9</v>
      </c>
      <c r="V147" s="8">
        <v>7887.1</v>
      </c>
    </row>
    <row r="148" spans="1:22" x14ac:dyDescent="0.15">
      <c r="A148" s="9">
        <v>34213</v>
      </c>
      <c r="B148" s="8">
        <v>2805.7</v>
      </c>
      <c r="C148" s="8">
        <v>1366.1</v>
      </c>
      <c r="D148" s="8">
        <v>678.3</v>
      </c>
      <c r="E148" s="8">
        <v>844.7</v>
      </c>
      <c r="F148" s="8">
        <v>1165.8</v>
      </c>
      <c r="G148" s="8">
        <v>904.9</v>
      </c>
      <c r="H148" s="8">
        <v>7765.5</v>
      </c>
      <c r="I148" s="8">
        <v>2852.5</v>
      </c>
      <c r="J148" s="8">
        <v>1406.4</v>
      </c>
      <c r="K148" s="8">
        <v>705.5</v>
      </c>
      <c r="L148" s="8">
        <v>891.6</v>
      </c>
      <c r="M148" s="8">
        <v>1177.5</v>
      </c>
      <c r="N148" s="8">
        <v>903.8</v>
      </c>
      <c r="O148" s="8">
        <v>7937.1</v>
      </c>
      <c r="P148" s="8">
        <v>2855.2</v>
      </c>
      <c r="Q148" s="8">
        <v>1401.7</v>
      </c>
      <c r="R148" s="8">
        <v>708.8</v>
      </c>
      <c r="S148" s="8">
        <v>882.4</v>
      </c>
      <c r="T148" s="8">
        <v>1174.3</v>
      </c>
      <c r="U148" s="8">
        <v>908.9</v>
      </c>
      <c r="V148" s="8">
        <v>7935.8</v>
      </c>
    </row>
    <row r="149" spans="1:22" x14ac:dyDescent="0.15">
      <c r="A149" s="9">
        <v>34243</v>
      </c>
      <c r="B149" s="8">
        <v>2901.8</v>
      </c>
      <c r="C149" s="8">
        <v>1438</v>
      </c>
      <c r="D149" s="8">
        <v>703.9</v>
      </c>
      <c r="E149" s="8">
        <v>886.9</v>
      </c>
      <c r="F149" s="8">
        <v>1201.7</v>
      </c>
      <c r="G149" s="8">
        <v>931.2</v>
      </c>
      <c r="H149" s="8">
        <v>8063.3</v>
      </c>
      <c r="I149" s="8">
        <v>2858.2</v>
      </c>
      <c r="J149" s="8">
        <v>1421.7</v>
      </c>
      <c r="K149" s="8">
        <v>699.6</v>
      </c>
      <c r="L149" s="8">
        <v>900.6</v>
      </c>
      <c r="M149" s="8">
        <v>1198.8</v>
      </c>
      <c r="N149" s="8">
        <v>916.9</v>
      </c>
      <c r="O149" s="8">
        <v>7995.8</v>
      </c>
      <c r="P149" s="8">
        <v>2864.2</v>
      </c>
      <c r="Q149" s="8">
        <v>1418.8</v>
      </c>
      <c r="R149" s="8">
        <v>708.3</v>
      </c>
      <c r="S149" s="8">
        <v>885.5</v>
      </c>
      <c r="T149" s="8">
        <v>1190.7</v>
      </c>
      <c r="U149" s="8">
        <v>921.5</v>
      </c>
      <c r="V149" s="8">
        <v>7998.9</v>
      </c>
    </row>
    <row r="150" spans="1:22" x14ac:dyDescent="0.15">
      <c r="A150" s="9">
        <v>34274</v>
      </c>
      <c r="B150" s="8">
        <v>2872.4</v>
      </c>
      <c r="C150" s="8">
        <v>1532.2</v>
      </c>
      <c r="D150" s="8">
        <v>746.5</v>
      </c>
      <c r="E150" s="8">
        <v>970</v>
      </c>
      <c r="F150" s="8">
        <v>1285.0999999999999</v>
      </c>
      <c r="G150" s="8">
        <v>963</v>
      </c>
      <c r="H150" s="8">
        <v>8369.2999999999993</v>
      </c>
      <c r="I150" s="8">
        <v>2896.4</v>
      </c>
      <c r="J150" s="8">
        <v>1447</v>
      </c>
      <c r="K150" s="8">
        <v>722.1</v>
      </c>
      <c r="L150" s="8">
        <v>900.2</v>
      </c>
      <c r="M150" s="8">
        <v>1226.7</v>
      </c>
      <c r="N150" s="8">
        <v>941.4</v>
      </c>
      <c r="O150" s="8">
        <v>8133.8</v>
      </c>
      <c r="P150" s="8">
        <v>2876.8</v>
      </c>
      <c r="Q150" s="8">
        <v>1436</v>
      </c>
      <c r="R150" s="8">
        <v>707.9</v>
      </c>
      <c r="S150" s="8">
        <v>890.8</v>
      </c>
      <c r="T150" s="8">
        <v>1205.5</v>
      </c>
      <c r="U150" s="8">
        <v>936.9</v>
      </c>
      <c r="V150" s="8">
        <v>8068.1</v>
      </c>
    </row>
    <row r="151" spans="1:22" x14ac:dyDescent="0.15">
      <c r="A151" s="9">
        <v>34304</v>
      </c>
      <c r="B151" s="8">
        <v>3433.4</v>
      </c>
      <c r="C151" s="8">
        <v>2011.8</v>
      </c>
      <c r="D151" s="8">
        <v>1089.7</v>
      </c>
      <c r="E151" s="8">
        <v>1710.5</v>
      </c>
      <c r="F151" s="8">
        <v>1786</v>
      </c>
      <c r="G151" s="8">
        <v>1099.5</v>
      </c>
      <c r="H151" s="8">
        <v>11130.8</v>
      </c>
      <c r="I151" s="8">
        <v>2893.2</v>
      </c>
      <c r="J151" s="8">
        <v>1443.1</v>
      </c>
      <c r="K151" s="8">
        <v>731.2</v>
      </c>
      <c r="L151" s="8">
        <v>884.2</v>
      </c>
      <c r="M151" s="8">
        <v>1244.8</v>
      </c>
      <c r="N151" s="8">
        <v>957.3</v>
      </c>
      <c r="O151" s="8">
        <v>8153.7</v>
      </c>
      <c r="P151" s="8">
        <v>2889.6</v>
      </c>
      <c r="Q151" s="8">
        <v>1450.3</v>
      </c>
      <c r="R151" s="8">
        <v>714.1</v>
      </c>
      <c r="S151" s="8">
        <v>896.5</v>
      </c>
      <c r="T151" s="8">
        <v>1217.3</v>
      </c>
      <c r="U151" s="8">
        <v>951.6</v>
      </c>
      <c r="V151" s="8">
        <v>8132.6</v>
      </c>
    </row>
    <row r="152" spans="1:22" x14ac:dyDescent="0.15">
      <c r="A152" s="9">
        <v>34335</v>
      </c>
      <c r="B152" s="8">
        <v>2834.4</v>
      </c>
      <c r="C152" s="8">
        <v>1373.4</v>
      </c>
      <c r="D152" s="8">
        <v>665.3</v>
      </c>
      <c r="E152" s="8">
        <v>745.7</v>
      </c>
      <c r="F152" s="8">
        <v>1127.3</v>
      </c>
      <c r="G152" s="8">
        <v>984.5</v>
      </c>
      <c r="H152" s="8">
        <v>7730.6</v>
      </c>
      <c r="I152" s="8">
        <v>2873.2</v>
      </c>
      <c r="J152" s="8">
        <v>1449.5</v>
      </c>
      <c r="K152" s="8">
        <v>713.5</v>
      </c>
      <c r="L152" s="8">
        <v>885.1</v>
      </c>
      <c r="M152" s="8">
        <v>1213.4000000000001</v>
      </c>
      <c r="N152" s="8">
        <v>960.3</v>
      </c>
      <c r="O152" s="8">
        <v>8095</v>
      </c>
      <c r="P152" s="8">
        <v>2900.7</v>
      </c>
      <c r="Q152" s="8">
        <v>1460.5</v>
      </c>
      <c r="R152" s="8">
        <v>718.9</v>
      </c>
      <c r="S152" s="8">
        <v>902.9</v>
      </c>
      <c r="T152" s="8">
        <v>1223.2</v>
      </c>
      <c r="U152" s="8">
        <v>965</v>
      </c>
      <c r="V152" s="8">
        <v>8184.3</v>
      </c>
    </row>
    <row r="153" spans="1:22" x14ac:dyDescent="0.15">
      <c r="A153" s="9">
        <v>34366</v>
      </c>
      <c r="B153" s="8">
        <v>2724.2</v>
      </c>
      <c r="C153" s="8">
        <v>1325.1</v>
      </c>
      <c r="D153" s="8">
        <v>579.29999999999995</v>
      </c>
      <c r="E153" s="8">
        <v>664.4</v>
      </c>
      <c r="F153" s="8">
        <v>1100.5999999999999</v>
      </c>
      <c r="G153" s="8">
        <v>901.6</v>
      </c>
      <c r="H153" s="8">
        <v>7295.2</v>
      </c>
      <c r="I153" s="8">
        <v>2930.4</v>
      </c>
      <c r="J153" s="8">
        <v>1497</v>
      </c>
      <c r="K153" s="8">
        <v>718.3</v>
      </c>
      <c r="L153" s="8">
        <v>916.8</v>
      </c>
      <c r="M153" s="8">
        <v>1238.8</v>
      </c>
      <c r="N153" s="8">
        <v>974.6</v>
      </c>
      <c r="O153" s="8">
        <v>8275.7000000000007</v>
      </c>
      <c r="P153" s="8">
        <v>2912.8</v>
      </c>
      <c r="Q153" s="8">
        <v>1469.8</v>
      </c>
      <c r="R153" s="8">
        <v>722.3</v>
      </c>
      <c r="S153" s="8">
        <v>908.6</v>
      </c>
      <c r="T153" s="8">
        <v>1227.0999999999999</v>
      </c>
      <c r="U153" s="8">
        <v>972.9</v>
      </c>
      <c r="V153" s="8">
        <v>8220.7000000000007</v>
      </c>
    </row>
    <row r="154" spans="1:22" x14ac:dyDescent="0.15">
      <c r="A154" s="9">
        <v>34394</v>
      </c>
      <c r="B154" s="8">
        <v>3048.7</v>
      </c>
      <c r="C154" s="8">
        <v>1451.4</v>
      </c>
      <c r="D154" s="8">
        <v>685.9</v>
      </c>
      <c r="E154" s="8">
        <v>821.5</v>
      </c>
      <c r="F154" s="8">
        <v>1217.5</v>
      </c>
      <c r="G154" s="8">
        <v>1015.2</v>
      </c>
      <c r="H154" s="8">
        <v>8240.1</v>
      </c>
      <c r="I154" s="8">
        <v>2941.4</v>
      </c>
      <c r="J154" s="8">
        <v>1464.2</v>
      </c>
      <c r="K154" s="8">
        <v>735.9</v>
      </c>
      <c r="L154" s="8">
        <v>928.1</v>
      </c>
      <c r="M154" s="8">
        <v>1234.4000000000001</v>
      </c>
      <c r="N154" s="8">
        <v>990.2</v>
      </c>
      <c r="O154" s="8">
        <v>8294.2999999999993</v>
      </c>
      <c r="P154" s="8">
        <v>2922.4</v>
      </c>
      <c r="Q154" s="8">
        <v>1476.6</v>
      </c>
      <c r="R154" s="8">
        <v>723.9</v>
      </c>
      <c r="S154" s="8">
        <v>913.9</v>
      </c>
      <c r="T154" s="8">
        <v>1233.5</v>
      </c>
      <c r="U154" s="8">
        <v>976.5</v>
      </c>
      <c r="V154" s="8">
        <v>8249.5</v>
      </c>
    </row>
    <row r="155" spans="1:22" x14ac:dyDescent="0.15">
      <c r="A155" s="9">
        <v>34425</v>
      </c>
      <c r="B155" s="8">
        <v>2837.4</v>
      </c>
      <c r="C155" s="8">
        <v>1334.8</v>
      </c>
      <c r="D155" s="8">
        <v>709.4</v>
      </c>
      <c r="E155" s="8">
        <v>831.7</v>
      </c>
      <c r="F155" s="8">
        <v>1123</v>
      </c>
      <c r="G155" s="8">
        <v>939.1</v>
      </c>
      <c r="H155" s="8">
        <v>7775.5</v>
      </c>
      <c r="I155" s="8">
        <v>2917.4</v>
      </c>
      <c r="J155" s="8">
        <v>1474.7</v>
      </c>
      <c r="K155" s="8">
        <v>735.3</v>
      </c>
      <c r="L155" s="8">
        <v>904.7</v>
      </c>
      <c r="M155" s="8">
        <v>1231.3</v>
      </c>
      <c r="N155" s="8">
        <v>973</v>
      </c>
      <c r="O155" s="8">
        <v>8236.5</v>
      </c>
      <c r="P155" s="8">
        <v>2935.6</v>
      </c>
      <c r="Q155" s="8">
        <v>1484.6</v>
      </c>
      <c r="R155" s="8">
        <v>723.5</v>
      </c>
      <c r="S155" s="8">
        <v>917</v>
      </c>
      <c r="T155" s="8">
        <v>1242.4000000000001</v>
      </c>
      <c r="U155" s="8">
        <v>978.8</v>
      </c>
      <c r="V155" s="8">
        <v>8281.2000000000007</v>
      </c>
    </row>
    <row r="156" spans="1:22" x14ac:dyDescent="0.15">
      <c r="A156" s="9">
        <v>34455</v>
      </c>
      <c r="B156" s="8">
        <v>2848.7</v>
      </c>
      <c r="C156" s="8">
        <v>1443.6</v>
      </c>
      <c r="D156" s="8">
        <v>731.6</v>
      </c>
      <c r="E156" s="8">
        <v>908</v>
      </c>
      <c r="F156" s="8">
        <v>1187.7</v>
      </c>
      <c r="G156" s="8">
        <v>941.4</v>
      </c>
      <c r="H156" s="8">
        <v>8061.2</v>
      </c>
      <c r="I156" s="8">
        <v>2948.5</v>
      </c>
      <c r="J156" s="8">
        <v>1497.8</v>
      </c>
      <c r="K156" s="8">
        <v>720.6</v>
      </c>
      <c r="L156" s="8">
        <v>934.6</v>
      </c>
      <c r="M156" s="8">
        <v>1247.4000000000001</v>
      </c>
      <c r="N156" s="8">
        <v>972.3</v>
      </c>
      <c r="O156" s="8">
        <v>8321.2000000000007</v>
      </c>
      <c r="P156" s="8">
        <v>2952.6</v>
      </c>
      <c r="Q156" s="8">
        <v>1492.6</v>
      </c>
      <c r="R156" s="8">
        <v>720.8</v>
      </c>
      <c r="S156" s="8">
        <v>918.5</v>
      </c>
      <c r="T156" s="8">
        <v>1253.5</v>
      </c>
      <c r="U156" s="8">
        <v>982</v>
      </c>
      <c r="V156" s="8">
        <v>8324.2999999999993</v>
      </c>
    </row>
    <row r="157" spans="1:22" x14ac:dyDescent="0.15">
      <c r="A157" s="9">
        <v>34486</v>
      </c>
      <c r="B157" s="8">
        <v>2869.9</v>
      </c>
      <c r="C157" s="8">
        <v>1456</v>
      </c>
      <c r="D157" s="8">
        <v>695.9</v>
      </c>
      <c r="E157" s="8">
        <v>912.6</v>
      </c>
      <c r="F157" s="8">
        <v>1187.9000000000001</v>
      </c>
      <c r="G157" s="8">
        <v>934.8</v>
      </c>
      <c r="H157" s="8">
        <v>8057.1</v>
      </c>
      <c r="I157" s="8">
        <v>2964.9</v>
      </c>
      <c r="J157" s="8">
        <v>1504.5</v>
      </c>
      <c r="K157" s="8">
        <v>703.9</v>
      </c>
      <c r="L157" s="8">
        <v>938.9</v>
      </c>
      <c r="M157" s="8">
        <v>1269</v>
      </c>
      <c r="N157" s="8">
        <v>983.3</v>
      </c>
      <c r="O157" s="8">
        <v>8364.4</v>
      </c>
      <c r="P157" s="8">
        <v>2972.8</v>
      </c>
      <c r="Q157" s="8">
        <v>1501.6</v>
      </c>
      <c r="R157" s="8">
        <v>720</v>
      </c>
      <c r="S157" s="8">
        <v>919.9</v>
      </c>
      <c r="T157" s="8">
        <v>1264</v>
      </c>
      <c r="U157" s="8">
        <v>984.9</v>
      </c>
      <c r="V157" s="8">
        <v>8381.2999999999993</v>
      </c>
    </row>
    <row r="158" spans="1:22" x14ac:dyDescent="0.15">
      <c r="A158" s="9">
        <v>34516</v>
      </c>
      <c r="B158" s="8">
        <v>2953.3</v>
      </c>
      <c r="C158" s="8">
        <v>1427.8</v>
      </c>
      <c r="D158" s="8">
        <v>682.5</v>
      </c>
      <c r="E158" s="8">
        <v>782.9</v>
      </c>
      <c r="F158" s="8">
        <v>1216.9000000000001</v>
      </c>
      <c r="G158" s="8">
        <v>1013.3</v>
      </c>
      <c r="H158" s="8">
        <v>8076.6</v>
      </c>
      <c r="I158" s="8">
        <v>3002.8</v>
      </c>
      <c r="J158" s="8">
        <v>1485.8</v>
      </c>
      <c r="K158" s="8">
        <v>710.1</v>
      </c>
      <c r="L158" s="8">
        <v>863.7</v>
      </c>
      <c r="M158" s="8">
        <v>1277.9000000000001</v>
      </c>
      <c r="N158" s="8">
        <v>1036.3</v>
      </c>
      <c r="O158" s="8">
        <v>8376.6</v>
      </c>
      <c r="P158" s="8">
        <v>2996.3</v>
      </c>
      <c r="Q158" s="8">
        <v>1509.8</v>
      </c>
      <c r="R158" s="8">
        <v>724.6</v>
      </c>
      <c r="S158" s="8">
        <v>922.6</v>
      </c>
      <c r="T158" s="8">
        <v>1274.2</v>
      </c>
      <c r="U158" s="8">
        <v>1033.0999999999999</v>
      </c>
      <c r="V158" s="8">
        <v>8444.9</v>
      </c>
    </row>
    <row r="159" spans="1:22" x14ac:dyDescent="0.15">
      <c r="A159" s="9">
        <v>34547</v>
      </c>
      <c r="B159" s="8">
        <v>2964.7</v>
      </c>
      <c r="C159" s="8">
        <v>1503.1</v>
      </c>
      <c r="D159" s="8">
        <v>677.3</v>
      </c>
      <c r="E159" s="8">
        <v>798.8</v>
      </c>
      <c r="F159" s="8">
        <v>1261.3</v>
      </c>
      <c r="G159" s="8">
        <v>1017.5</v>
      </c>
      <c r="H159" s="8">
        <v>8222.7000000000007</v>
      </c>
      <c r="I159" s="8">
        <v>3021.6</v>
      </c>
      <c r="J159" s="8">
        <v>1550.8</v>
      </c>
      <c r="K159" s="8">
        <v>736.9</v>
      </c>
      <c r="L159" s="8">
        <v>935</v>
      </c>
      <c r="M159" s="8">
        <v>1288.5</v>
      </c>
      <c r="N159" s="8">
        <v>1038.7</v>
      </c>
      <c r="O159" s="8">
        <v>8571.5</v>
      </c>
      <c r="P159" s="8">
        <v>3020.4</v>
      </c>
      <c r="Q159" s="8">
        <v>1512.9</v>
      </c>
      <c r="R159" s="8">
        <v>729.7</v>
      </c>
      <c r="S159" s="8">
        <v>926.4</v>
      </c>
      <c r="T159" s="8">
        <v>1282.2</v>
      </c>
      <c r="U159" s="8">
        <v>1036.9000000000001</v>
      </c>
      <c r="V159" s="8">
        <v>8506</v>
      </c>
    </row>
    <row r="160" spans="1:22" x14ac:dyDescent="0.15">
      <c r="A160" s="9">
        <v>34578</v>
      </c>
      <c r="B160" s="8">
        <v>3013.5</v>
      </c>
      <c r="C160" s="8">
        <v>1475.2</v>
      </c>
      <c r="D160" s="8">
        <v>722.3</v>
      </c>
      <c r="E160" s="8">
        <v>887</v>
      </c>
      <c r="F160" s="8">
        <v>1271.9000000000001</v>
      </c>
      <c r="G160" s="8">
        <v>1040.7</v>
      </c>
      <c r="H160" s="8">
        <v>8410.6</v>
      </c>
      <c r="I160" s="8">
        <v>3049.9</v>
      </c>
      <c r="J160" s="8">
        <v>1515.4</v>
      </c>
      <c r="K160" s="8">
        <v>747.6</v>
      </c>
      <c r="L160" s="8">
        <v>953.5</v>
      </c>
      <c r="M160" s="8">
        <v>1291.5</v>
      </c>
      <c r="N160" s="8">
        <v>1044.5999999999999</v>
      </c>
      <c r="O160" s="8">
        <v>8602.5</v>
      </c>
      <c r="P160" s="8">
        <v>3044.2</v>
      </c>
      <c r="Q160" s="8">
        <v>1516.8</v>
      </c>
      <c r="R160" s="8">
        <v>736.1</v>
      </c>
      <c r="S160" s="8">
        <v>929.7</v>
      </c>
      <c r="T160" s="8">
        <v>1287.3</v>
      </c>
      <c r="U160" s="8">
        <v>1040.4000000000001</v>
      </c>
      <c r="V160" s="8">
        <v>8557.7999999999993</v>
      </c>
    </row>
    <row r="161" spans="1:22" x14ac:dyDescent="0.15">
      <c r="A161" s="9">
        <v>34608</v>
      </c>
      <c r="B161" s="8">
        <v>3081.6</v>
      </c>
      <c r="C161" s="8">
        <v>1508.7</v>
      </c>
      <c r="D161" s="8">
        <v>748.2</v>
      </c>
      <c r="E161" s="8">
        <v>934.6</v>
      </c>
      <c r="F161" s="8">
        <v>1303.5</v>
      </c>
      <c r="G161" s="8">
        <v>1061.8</v>
      </c>
      <c r="H161" s="8">
        <v>8638.4</v>
      </c>
      <c r="I161" s="8">
        <v>3074.3</v>
      </c>
      <c r="J161" s="8">
        <v>1502.9</v>
      </c>
      <c r="K161" s="8">
        <v>750.7</v>
      </c>
      <c r="L161" s="8">
        <v>949.3</v>
      </c>
      <c r="M161" s="8">
        <v>1314</v>
      </c>
      <c r="N161" s="8">
        <v>1044.7</v>
      </c>
      <c r="O161" s="8">
        <v>8635.7999999999993</v>
      </c>
      <c r="P161" s="8">
        <v>3064.7</v>
      </c>
      <c r="Q161" s="8">
        <v>1515</v>
      </c>
      <c r="R161" s="8">
        <v>740.5</v>
      </c>
      <c r="S161" s="8">
        <v>930.7</v>
      </c>
      <c r="T161" s="8">
        <v>1288</v>
      </c>
      <c r="U161" s="8">
        <v>1042.8</v>
      </c>
      <c r="V161" s="8">
        <v>8593.5</v>
      </c>
    </row>
    <row r="162" spans="1:22" x14ac:dyDescent="0.15">
      <c r="A162" s="9">
        <v>34639</v>
      </c>
      <c r="B162" s="8">
        <v>3082.7</v>
      </c>
      <c r="C162" s="8">
        <v>1616.5</v>
      </c>
      <c r="D162" s="8">
        <v>773.9</v>
      </c>
      <c r="E162" s="8">
        <v>1000.4</v>
      </c>
      <c r="F162" s="8">
        <v>1363</v>
      </c>
      <c r="G162" s="8">
        <v>1070.2</v>
      </c>
      <c r="H162" s="8">
        <v>8906.7000000000007</v>
      </c>
      <c r="I162" s="8">
        <v>3071.5</v>
      </c>
      <c r="J162" s="8">
        <v>1521.9</v>
      </c>
      <c r="K162" s="8">
        <v>744.2</v>
      </c>
      <c r="L162" s="8">
        <v>918.8</v>
      </c>
      <c r="M162" s="8">
        <v>1286.0999999999999</v>
      </c>
      <c r="N162" s="8">
        <v>1045.7</v>
      </c>
      <c r="O162" s="8">
        <v>8588.1</v>
      </c>
      <c r="P162" s="8">
        <v>3086.9</v>
      </c>
      <c r="Q162" s="8">
        <v>1516</v>
      </c>
      <c r="R162" s="8">
        <v>745.2</v>
      </c>
      <c r="S162" s="8">
        <v>930.4</v>
      </c>
      <c r="T162" s="8">
        <v>1287.9000000000001</v>
      </c>
      <c r="U162" s="8">
        <v>1045.0999999999999</v>
      </c>
      <c r="V162" s="8">
        <v>8621</v>
      </c>
    </row>
    <row r="163" spans="1:22" x14ac:dyDescent="0.15">
      <c r="A163" s="9">
        <v>34669</v>
      </c>
      <c r="B163" s="8">
        <v>3700</v>
      </c>
      <c r="C163" s="8">
        <v>2058.9</v>
      </c>
      <c r="D163" s="8">
        <v>1092.0999999999999</v>
      </c>
      <c r="E163" s="8">
        <v>1817.5</v>
      </c>
      <c r="F163" s="8">
        <v>1827.4</v>
      </c>
      <c r="G163" s="8">
        <v>1188.3</v>
      </c>
      <c r="H163" s="8">
        <v>11684.1</v>
      </c>
      <c r="I163" s="8">
        <v>3110.6</v>
      </c>
      <c r="J163" s="8">
        <v>1500.5</v>
      </c>
      <c r="K163" s="8">
        <v>731.1</v>
      </c>
      <c r="L163" s="8">
        <v>924.8</v>
      </c>
      <c r="M163" s="8">
        <v>1288.4000000000001</v>
      </c>
      <c r="N163" s="8">
        <v>1040</v>
      </c>
      <c r="O163" s="8">
        <v>8595.6</v>
      </c>
      <c r="P163" s="8">
        <v>3110.6</v>
      </c>
      <c r="Q163" s="8">
        <v>1519.5</v>
      </c>
      <c r="R163" s="8">
        <v>748.8</v>
      </c>
      <c r="S163" s="8">
        <v>930.2</v>
      </c>
      <c r="T163" s="8">
        <v>1288.8</v>
      </c>
      <c r="U163" s="8">
        <v>1050.0999999999999</v>
      </c>
      <c r="V163" s="8">
        <v>8653.2999999999993</v>
      </c>
    </row>
    <row r="164" spans="1:22" x14ac:dyDescent="0.15">
      <c r="A164" s="9">
        <v>34700</v>
      </c>
      <c r="B164" s="8">
        <v>3063</v>
      </c>
      <c r="C164" s="8">
        <v>1463.9</v>
      </c>
      <c r="D164" s="8">
        <v>703.5</v>
      </c>
      <c r="E164" s="8">
        <v>752.4</v>
      </c>
      <c r="F164" s="8">
        <v>1209.3</v>
      </c>
      <c r="G164" s="8">
        <v>1076.3</v>
      </c>
      <c r="H164" s="8">
        <v>8268.2999999999993</v>
      </c>
      <c r="I164" s="8">
        <v>3133.2</v>
      </c>
      <c r="J164" s="8">
        <v>1536</v>
      </c>
      <c r="K164" s="8">
        <v>750.2</v>
      </c>
      <c r="L164" s="8">
        <v>908.5</v>
      </c>
      <c r="M164" s="8">
        <v>1299.8</v>
      </c>
      <c r="N164" s="8">
        <v>1057.2</v>
      </c>
      <c r="O164" s="8">
        <v>8684.7999999999993</v>
      </c>
      <c r="P164" s="8">
        <v>3132.8</v>
      </c>
      <c r="Q164" s="8">
        <v>1530.1</v>
      </c>
      <c r="R164" s="8">
        <v>753</v>
      </c>
      <c r="S164" s="8">
        <v>931.2</v>
      </c>
      <c r="T164" s="8">
        <v>1293.5999999999999</v>
      </c>
      <c r="U164" s="8">
        <v>1057.2</v>
      </c>
      <c r="V164" s="8">
        <v>8701.7999999999993</v>
      </c>
    </row>
    <row r="165" spans="1:22" x14ac:dyDescent="0.15">
      <c r="A165" s="9">
        <v>34731</v>
      </c>
      <c r="B165" s="8">
        <v>2949.1</v>
      </c>
      <c r="C165" s="8">
        <v>1373.3</v>
      </c>
      <c r="D165" s="8">
        <v>615.70000000000005</v>
      </c>
      <c r="E165" s="8">
        <v>682.5</v>
      </c>
      <c r="F165" s="8">
        <v>1148.0999999999999</v>
      </c>
      <c r="G165" s="8">
        <v>981.6</v>
      </c>
      <c r="H165" s="8">
        <v>7750.3</v>
      </c>
      <c r="I165" s="8">
        <v>3172.1</v>
      </c>
      <c r="J165" s="8">
        <v>1552.9</v>
      </c>
      <c r="K165" s="8">
        <v>763.2</v>
      </c>
      <c r="L165" s="8">
        <v>945.1</v>
      </c>
      <c r="M165" s="8">
        <v>1295.7</v>
      </c>
      <c r="N165" s="8">
        <v>1063.4000000000001</v>
      </c>
      <c r="O165" s="8">
        <v>8792.4</v>
      </c>
      <c r="P165" s="8">
        <v>3161.2</v>
      </c>
      <c r="Q165" s="8">
        <v>1547.6</v>
      </c>
      <c r="R165" s="8">
        <v>756.6</v>
      </c>
      <c r="S165" s="8">
        <v>934.6</v>
      </c>
      <c r="T165" s="8">
        <v>1303</v>
      </c>
      <c r="U165" s="8">
        <v>1067.8</v>
      </c>
      <c r="V165" s="8">
        <v>8771.1</v>
      </c>
    </row>
    <row r="166" spans="1:22" x14ac:dyDescent="0.15">
      <c r="A166" s="9">
        <v>34759</v>
      </c>
      <c r="B166" s="8">
        <v>3244.4</v>
      </c>
      <c r="C166" s="8">
        <v>1533.7</v>
      </c>
      <c r="D166" s="8">
        <v>702.4</v>
      </c>
      <c r="E166" s="8">
        <v>811.2</v>
      </c>
      <c r="F166" s="8">
        <v>1266.3</v>
      </c>
      <c r="G166" s="8">
        <v>1098.9000000000001</v>
      </c>
      <c r="H166" s="8">
        <v>8656.9</v>
      </c>
      <c r="I166" s="8">
        <v>3177.4</v>
      </c>
      <c r="J166" s="8">
        <v>1562</v>
      </c>
      <c r="K166" s="8">
        <v>760.7</v>
      </c>
      <c r="L166" s="8">
        <v>946.2</v>
      </c>
      <c r="M166" s="8">
        <v>1309.4000000000001</v>
      </c>
      <c r="N166" s="8">
        <v>1086.5</v>
      </c>
      <c r="O166" s="8">
        <v>8842.2000000000007</v>
      </c>
      <c r="P166" s="8">
        <v>3192</v>
      </c>
      <c r="Q166" s="8">
        <v>1568.3</v>
      </c>
      <c r="R166" s="8">
        <v>762.1</v>
      </c>
      <c r="S166" s="8">
        <v>942.3</v>
      </c>
      <c r="T166" s="8">
        <v>1314.9</v>
      </c>
      <c r="U166" s="8">
        <v>1079.4000000000001</v>
      </c>
      <c r="V166" s="8">
        <v>8856.5</v>
      </c>
    </row>
    <row r="167" spans="1:22" x14ac:dyDescent="0.15">
      <c r="A167" s="9">
        <v>34790</v>
      </c>
      <c r="B167" s="8">
        <v>3151</v>
      </c>
      <c r="C167" s="8">
        <v>1420.6</v>
      </c>
      <c r="D167" s="8">
        <v>755.9</v>
      </c>
      <c r="E167" s="8">
        <v>906</v>
      </c>
      <c r="F167" s="8">
        <v>1213.2</v>
      </c>
      <c r="G167" s="8">
        <v>1067.8</v>
      </c>
      <c r="H167" s="8">
        <v>8514.5</v>
      </c>
      <c r="I167" s="8">
        <v>3219.8</v>
      </c>
      <c r="J167" s="8">
        <v>1581.4</v>
      </c>
      <c r="K167" s="8">
        <v>788</v>
      </c>
      <c r="L167" s="8">
        <v>965.2</v>
      </c>
      <c r="M167" s="8">
        <v>1327.1</v>
      </c>
      <c r="N167" s="8">
        <v>1091.7</v>
      </c>
      <c r="O167" s="8">
        <v>8973.2000000000007</v>
      </c>
      <c r="P167" s="8">
        <v>3224</v>
      </c>
      <c r="Q167" s="8">
        <v>1585.6</v>
      </c>
      <c r="R167" s="8">
        <v>767.3</v>
      </c>
      <c r="S167" s="8">
        <v>950.3</v>
      </c>
      <c r="T167" s="8">
        <v>1329.1</v>
      </c>
      <c r="U167" s="8">
        <v>1090.5</v>
      </c>
      <c r="V167" s="8">
        <v>8944.5</v>
      </c>
    </row>
    <row r="168" spans="1:22" x14ac:dyDescent="0.15">
      <c r="A168" s="9">
        <v>34820</v>
      </c>
      <c r="B168" s="8">
        <v>3200</v>
      </c>
      <c r="C168" s="8">
        <v>1576.3</v>
      </c>
      <c r="D168" s="8">
        <v>766</v>
      </c>
      <c r="E168" s="8">
        <v>927.2</v>
      </c>
      <c r="F168" s="8">
        <v>1307.7</v>
      </c>
      <c r="G168" s="8">
        <v>1083.3</v>
      </c>
      <c r="H168" s="8">
        <v>8860.4</v>
      </c>
      <c r="I168" s="8">
        <v>3268.9</v>
      </c>
      <c r="J168" s="8">
        <v>1595.5</v>
      </c>
      <c r="K168" s="8">
        <v>748.4</v>
      </c>
      <c r="L168" s="8">
        <v>943.9</v>
      </c>
      <c r="M168" s="8">
        <v>1351</v>
      </c>
      <c r="N168" s="8">
        <v>1108.3</v>
      </c>
      <c r="O168" s="8">
        <v>9015.9</v>
      </c>
      <c r="P168" s="8">
        <v>3255</v>
      </c>
      <c r="Q168" s="8">
        <v>1600.3</v>
      </c>
      <c r="R168" s="8">
        <v>767.8</v>
      </c>
      <c r="S168" s="8">
        <v>955.9</v>
      </c>
      <c r="T168" s="8">
        <v>1345.2</v>
      </c>
      <c r="U168" s="8">
        <v>1099.5</v>
      </c>
      <c r="V168" s="8">
        <v>9025.7999999999993</v>
      </c>
    </row>
    <row r="169" spans="1:22" x14ac:dyDescent="0.15">
      <c r="A169" s="9">
        <v>34851</v>
      </c>
      <c r="B169" s="8">
        <v>3179.6</v>
      </c>
      <c r="C169" s="8">
        <v>1607.5</v>
      </c>
      <c r="D169" s="8">
        <v>761.4</v>
      </c>
      <c r="E169" s="8">
        <v>906.8</v>
      </c>
      <c r="F169" s="8">
        <v>1267.7</v>
      </c>
      <c r="G169" s="8">
        <v>1045</v>
      </c>
      <c r="H169" s="8">
        <v>8767.9</v>
      </c>
      <c r="I169" s="8">
        <v>3284.2</v>
      </c>
      <c r="J169" s="8">
        <v>1646.4</v>
      </c>
      <c r="K169" s="8">
        <v>774.6</v>
      </c>
      <c r="L169" s="8">
        <v>955.6</v>
      </c>
      <c r="M169" s="8">
        <v>1360.1</v>
      </c>
      <c r="N169" s="8">
        <v>1100.8</v>
      </c>
      <c r="O169" s="8">
        <v>9121.7000000000007</v>
      </c>
      <c r="P169" s="8">
        <v>3283.2</v>
      </c>
      <c r="Q169" s="8">
        <v>1613.6</v>
      </c>
      <c r="R169" s="8">
        <v>769.7</v>
      </c>
      <c r="S169" s="8">
        <v>957.9</v>
      </c>
      <c r="T169" s="8">
        <v>1360.5</v>
      </c>
      <c r="U169" s="8">
        <v>1107.8</v>
      </c>
      <c r="V169" s="8">
        <v>9093</v>
      </c>
    </row>
    <row r="170" spans="1:22" x14ac:dyDescent="0.15">
      <c r="A170" s="9">
        <v>34881</v>
      </c>
      <c r="B170" s="8">
        <v>3212</v>
      </c>
      <c r="C170" s="8">
        <v>1545.7</v>
      </c>
      <c r="D170" s="8">
        <v>726.7</v>
      </c>
      <c r="E170" s="8">
        <v>880.6</v>
      </c>
      <c r="F170" s="8">
        <v>1302.7</v>
      </c>
      <c r="G170" s="8">
        <v>1094.4000000000001</v>
      </c>
      <c r="H170" s="8">
        <v>8762.1</v>
      </c>
      <c r="I170" s="8">
        <v>3306.6</v>
      </c>
      <c r="J170" s="8">
        <v>1614.6</v>
      </c>
      <c r="K170" s="8">
        <v>761.7</v>
      </c>
      <c r="L170" s="8">
        <v>953.6</v>
      </c>
      <c r="M170" s="8">
        <v>1375.4</v>
      </c>
      <c r="N170" s="8">
        <v>1115</v>
      </c>
      <c r="O170" s="8">
        <v>9126.7999999999993</v>
      </c>
      <c r="P170" s="8">
        <v>3312.8</v>
      </c>
      <c r="Q170" s="8">
        <v>1620.8</v>
      </c>
      <c r="R170" s="8">
        <v>769</v>
      </c>
      <c r="S170" s="8">
        <v>957.3</v>
      </c>
      <c r="T170" s="8">
        <v>1372.7</v>
      </c>
      <c r="U170" s="8">
        <v>1116.2</v>
      </c>
      <c r="V170" s="8">
        <v>9149</v>
      </c>
    </row>
    <row r="171" spans="1:22" x14ac:dyDescent="0.15">
      <c r="A171" s="9">
        <v>34912</v>
      </c>
      <c r="B171" s="8">
        <v>3342.3</v>
      </c>
      <c r="C171" s="8">
        <v>1550.8</v>
      </c>
      <c r="D171" s="8">
        <v>727.6</v>
      </c>
      <c r="E171" s="8">
        <v>873.9</v>
      </c>
      <c r="F171" s="8">
        <v>1360</v>
      </c>
      <c r="G171" s="8">
        <v>1109.7</v>
      </c>
      <c r="H171" s="8">
        <v>8964.4</v>
      </c>
      <c r="I171" s="8">
        <v>3339.7</v>
      </c>
      <c r="J171" s="8">
        <v>1606.1</v>
      </c>
      <c r="K171" s="8">
        <v>776.2</v>
      </c>
      <c r="L171" s="8">
        <v>985.7</v>
      </c>
      <c r="M171" s="8">
        <v>1382.1</v>
      </c>
      <c r="N171" s="8">
        <v>1120.2</v>
      </c>
      <c r="O171" s="8">
        <v>9209.9</v>
      </c>
      <c r="P171" s="8">
        <v>3341.2</v>
      </c>
      <c r="Q171" s="8">
        <v>1623.2</v>
      </c>
      <c r="R171" s="8">
        <v>771.7</v>
      </c>
      <c r="S171" s="8">
        <v>956.5</v>
      </c>
      <c r="T171" s="8">
        <v>1382</v>
      </c>
      <c r="U171" s="8">
        <v>1126.3</v>
      </c>
      <c r="V171" s="8">
        <v>9198.9</v>
      </c>
    </row>
    <row r="172" spans="1:22" x14ac:dyDescent="0.15">
      <c r="A172" s="9">
        <v>34943</v>
      </c>
      <c r="B172" s="8">
        <v>3301.7</v>
      </c>
      <c r="C172" s="8">
        <v>1583</v>
      </c>
      <c r="D172" s="8">
        <v>751.6</v>
      </c>
      <c r="E172" s="8">
        <v>856.8</v>
      </c>
      <c r="F172" s="8">
        <v>1377.1</v>
      </c>
      <c r="G172" s="8">
        <v>1126.0999999999999</v>
      </c>
      <c r="H172" s="8">
        <v>8996.2000000000007</v>
      </c>
      <c r="I172" s="8">
        <v>3360.3</v>
      </c>
      <c r="J172" s="8">
        <v>1633.4</v>
      </c>
      <c r="K172" s="8">
        <v>781.4</v>
      </c>
      <c r="L172" s="8">
        <v>930.9</v>
      </c>
      <c r="M172" s="8">
        <v>1402.2</v>
      </c>
      <c r="N172" s="8">
        <v>1138.8</v>
      </c>
      <c r="O172" s="8">
        <v>9247</v>
      </c>
      <c r="P172" s="8">
        <v>3366.5</v>
      </c>
      <c r="Q172" s="8">
        <v>1621</v>
      </c>
      <c r="R172" s="8">
        <v>773.9</v>
      </c>
      <c r="S172" s="8">
        <v>957.5</v>
      </c>
      <c r="T172" s="8">
        <v>1387.7</v>
      </c>
      <c r="U172" s="8">
        <v>1137.5</v>
      </c>
      <c r="V172" s="8">
        <v>9245.2000000000007</v>
      </c>
    </row>
    <row r="173" spans="1:22" x14ac:dyDescent="0.15">
      <c r="A173" s="9">
        <v>34973</v>
      </c>
      <c r="B173" s="8">
        <v>3369.8</v>
      </c>
      <c r="C173" s="8">
        <v>1622.6</v>
      </c>
      <c r="D173" s="8">
        <v>769.4</v>
      </c>
      <c r="E173" s="8">
        <v>920.6</v>
      </c>
      <c r="F173" s="8">
        <v>1365.9</v>
      </c>
      <c r="G173" s="8">
        <v>1166.5</v>
      </c>
      <c r="H173" s="8">
        <v>9214.9</v>
      </c>
      <c r="I173" s="8">
        <v>3390.1</v>
      </c>
      <c r="J173" s="8">
        <v>1616.1</v>
      </c>
      <c r="K173" s="8">
        <v>772.3</v>
      </c>
      <c r="L173" s="8">
        <v>962.5</v>
      </c>
      <c r="M173" s="8">
        <v>1378.8</v>
      </c>
      <c r="N173" s="8">
        <v>1150.7</v>
      </c>
      <c r="O173" s="8">
        <v>9270.7000000000007</v>
      </c>
      <c r="P173" s="8">
        <v>3389.1</v>
      </c>
      <c r="Q173" s="8">
        <v>1620.1</v>
      </c>
      <c r="R173" s="8">
        <v>778.6</v>
      </c>
      <c r="S173" s="8">
        <v>960</v>
      </c>
      <c r="T173" s="8">
        <v>1390.9</v>
      </c>
      <c r="U173" s="8">
        <v>1149.5</v>
      </c>
      <c r="V173" s="8">
        <v>9287.2000000000007</v>
      </c>
    </row>
    <row r="174" spans="1:22" x14ac:dyDescent="0.15">
      <c r="A174" s="9">
        <v>35004</v>
      </c>
      <c r="B174" s="8">
        <v>3485.3</v>
      </c>
      <c r="C174" s="8">
        <v>1705.5</v>
      </c>
      <c r="D174" s="8">
        <v>813.6</v>
      </c>
      <c r="E174" s="8">
        <v>1067.4000000000001</v>
      </c>
      <c r="F174" s="8">
        <v>1461.4</v>
      </c>
      <c r="G174" s="8">
        <v>1194.3</v>
      </c>
      <c r="H174" s="8">
        <v>9727.5</v>
      </c>
      <c r="I174" s="8">
        <v>3417.9</v>
      </c>
      <c r="J174" s="8">
        <v>1606.3</v>
      </c>
      <c r="K174" s="8">
        <v>777</v>
      </c>
      <c r="L174" s="8">
        <v>950.5</v>
      </c>
      <c r="M174" s="8">
        <v>1377</v>
      </c>
      <c r="N174" s="8">
        <v>1163.4000000000001</v>
      </c>
      <c r="O174" s="8">
        <v>9292.1</v>
      </c>
      <c r="P174" s="8">
        <v>3401.4</v>
      </c>
      <c r="Q174" s="8">
        <v>1618</v>
      </c>
      <c r="R174" s="8">
        <v>783.2</v>
      </c>
      <c r="S174" s="8">
        <v>963.4</v>
      </c>
      <c r="T174" s="8">
        <v>1392.9</v>
      </c>
      <c r="U174" s="8">
        <v>1160.9000000000001</v>
      </c>
      <c r="V174" s="8">
        <v>9324.7000000000007</v>
      </c>
    </row>
    <row r="175" spans="1:22" x14ac:dyDescent="0.15">
      <c r="A175" s="9">
        <v>35034</v>
      </c>
      <c r="B175" s="8">
        <v>3996.9</v>
      </c>
      <c r="C175" s="8">
        <v>2212.4</v>
      </c>
      <c r="D175" s="8">
        <v>1156.5</v>
      </c>
      <c r="E175" s="8">
        <v>1857.2</v>
      </c>
      <c r="F175" s="8">
        <v>1987.4</v>
      </c>
      <c r="G175" s="8">
        <v>1314.7</v>
      </c>
      <c r="H175" s="8">
        <v>12525</v>
      </c>
      <c r="I175" s="8">
        <v>3437.5</v>
      </c>
      <c r="J175" s="8">
        <v>1639.3</v>
      </c>
      <c r="K175" s="8">
        <v>789</v>
      </c>
      <c r="L175" s="8">
        <v>977.1</v>
      </c>
      <c r="M175" s="8">
        <v>1409.6</v>
      </c>
      <c r="N175" s="8">
        <v>1167.7</v>
      </c>
      <c r="O175" s="8">
        <v>9420.2000000000007</v>
      </c>
      <c r="P175" s="8">
        <v>3413.4</v>
      </c>
      <c r="Q175" s="8">
        <v>1619.5</v>
      </c>
      <c r="R175" s="8">
        <v>785.1</v>
      </c>
      <c r="S175" s="8">
        <v>966.5</v>
      </c>
      <c r="T175" s="8">
        <v>1392.9</v>
      </c>
      <c r="U175" s="8">
        <v>1170</v>
      </c>
      <c r="V175" s="8">
        <v>9354.1</v>
      </c>
    </row>
    <row r="176" spans="1:22" x14ac:dyDescent="0.15">
      <c r="A176" s="9">
        <v>35065</v>
      </c>
      <c r="B176" s="8">
        <v>3357.2</v>
      </c>
      <c r="C176" s="8">
        <v>1580.7</v>
      </c>
      <c r="D176" s="8">
        <v>754.8</v>
      </c>
      <c r="E176" s="8">
        <v>833.1</v>
      </c>
      <c r="F176" s="8">
        <v>1345.6</v>
      </c>
      <c r="G176" s="8">
        <v>1213.0999999999999</v>
      </c>
      <c r="H176" s="8">
        <v>9084.7000000000007</v>
      </c>
      <c r="I176" s="8">
        <v>3390.7</v>
      </c>
      <c r="J176" s="8">
        <v>1616</v>
      </c>
      <c r="K176" s="8">
        <v>792.6</v>
      </c>
      <c r="L176" s="8">
        <v>985.5</v>
      </c>
      <c r="M176" s="8">
        <v>1415.6</v>
      </c>
      <c r="N176" s="8">
        <v>1183.4000000000001</v>
      </c>
      <c r="O176" s="8">
        <v>9383.7000000000007</v>
      </c>
      <c r="P176" s="8">
        <v>3423.4</v>
      </c>
      <c r="Q176" s="8">
        <v>1624</v>
      </c>
      <c r="R176" s="8">
        <v>787.9</v>
      </c>
      <c r="S176" s="8">
        <v>969.1</v>
      </c>
      <c r="T176" s="8">
        <v>1394.2</v>
      </c>
      <c r="U176" s="8">
        <v>1176.9000000000001</v>
      </c>
      <c r="V176" s="8">
        <v>9376.6</v>
      </c>
    </row>
    <row r="177" spans="1:22" x14ac:dyDescent="0.15">
      <c r="A177" s="9">
        <v>35096</v>
      </c>
      <c r="B177" s="8">
        <v>3339</v>
      </c>
      <c r="C177" s="8">
        <v>1485.5</v>
      </c>
      <c r="D177" s="8">
        <v>662.9</v>
      </c>
      <c r="E177" s="8">
        <v>737.1</v>
      </c>
      <c r="F177" s="8">
        <v>1279.5999999999999</v>
      </c>
      <c r="G177" s="8">
        <v>1128</v>
      </c>
      <c r="H177" s="8">
        <v>8632.1</v>
      </c>
      <c r="I177" s="8">
        <v>3432.9</v>
      </c>
      <c r="J177" s="8">
        <v>1621.6</v>
      </c>
      <c r="K177" s="8">
        <v>786.6</v>
      </c>
      <c r="L177" s="8">
        <v>965.3</v>
      </c>
      <c r="M177" s="8">
        <v>1395.8</v>
      </c>
      <c r="N177" s="8">
        <v>1176.3</v>
      </c>
      <c r="O177" s="8">
        <v>9378.2999999999993</v>
      </c>
      <c r="P177" s="8">
        <v>3433.1</v>
      </c>
      <c r="Q177" s="8">
        <v>1627.1</v>
      </c>
      <c r="R177" s="8">
        <v>787.1</v>
      </c>
      <c r="S177" s="8">
        <v>970.5</v>
      </c>
      <c r="T177" s="8">
        <v>1395</v>
      </c>
      <c r="U177" s="8">
        <v>1180.2</v>
      </c>
      <c r="V177" s="8">
        <v>9396.9</v>
      </c>
    </row>
    <row r="178" spans="1:22" x14ac:dyDescent="0.15">
      <c r="A178" s="9">
        <v>35125</v>
      </c>
      <c r="B178" s="8">
        <v>3468.7</v>
      </c>
      <c r="C178" s="8">
        <v>1582.6</v>
      </c>
      <c r="D178" s="8">
        <v>717.6</v>
      </c>
      <c r="E178" s="8">
        <v>812</v>
      </c>
      <c r="F178" s="8">
        <v>1313.2</v>
      </c>
      <c r="G178" s="8">
        <v>1180</v>
      </c>
      <c r="H178" s="8">
        <v>9074.2000000000007</v>
      </c>
      <c r="I178" s="8">
        <v>3437.2</v>
      </c>
      <c r="J178" s="8">
        <v>1643.2</v>
      </c>
      <c r="K178" s="8">
        <v>789.5</v>
      </c>
      <c r="L178" s="8">
        <v>960.4</v>
      </c>
      <c r="M178" s="8">
        <v>1388.3</v>
      </c>
      <c r="N178" s="8">
        <v>1174.5</v>
      </c>
      <c r="O178" s="8">
        <v>9393.2000000000007</v>
      </c>
      <c r="P178" s="8">
        <v>3446.8</v>
      </c>
      <c r="Q178" s="8">
        <v>1638</v>
      </c>
      <c r="R178" s="8">
        <v>788.3</v>
      </c>
      <c r="S178" s="8">
        <v>971.1</v>
      </c>
      <c r="T178" s="8">
        <v>1395.3</v>
      </c>
      <c r="U178" s="8">
        <v>1181</v>
      </c>
      <c r="V178" s="8">
        <v>9423.2000000000007</v>
      </c>
    </row>
    <row r="179" spans="1:22" x14ac:dyDescent="0.15">
      <c r="A179" s="9">
        <v>35156</v>
      </c>
      <c r="B179" s="8">
        <v>3346.5</v>
      </c>
      <c r="C179" s="8">
        <v>1498.9</v>
      </c>
      <c r="D179" s="8">
        <v>758.2</v>
      </c>
      <c r="E179" s="8">
        <v>895.2</v>
      </c>
      <c r="F179" s="8">
        <v>1278.4000000000001</v>
      </c>
      <c r="G179" s="8">
        <v>1169.3</v>
      </c>
      <c r="H179" s="8">
        <v>8946.5</v>
      </c>
      <c r="I179" s="8">
        <v>3463.7</v>
      </c>
      <c r="J179" s="8">
        <v>1645.3</v>
      </c>
      <c r="K179" s="8">
        <v>789.6</v>
      </c>
      <c r="L179" s="8">
        <v>970.1</v>
      </c>
      <c r="M179" s="8">
        <v>1389.9</v>
      </c>
      <c r="N179" s="8">
        <v>1195.9000000000001</v>
      </c>
      <c r="O179" s="8">
        <v>9454.5</v>
      </c>
      <c r="P179" s="8">
        <v>3464.1</v>
      </c>
      <c r="Q179" s="8">
        <v>1654</v>
      </c>
      <c r="R179" s="8">
        <v>789.2</v>
      </c>
      <c r="S179" s="8">
        <v>971.3</v>
      </c>
      <c r="T179" s="8">
        <v>1395.7</v>
      </c>
      <c r="U179" s="8">
        <v>1178.5</v>
      </c>
      <c r="V179" s="8">
        <v>9455.2000000000007</v>
      </c>
    </row>
    <row r="180" spans="1:22" x14ac:dyDescent="0.15">
      <c r="A180" s="9">
        <v>35186</v>
      </c>
      <c r="B180" s="8">
        <v>3515.8</v>
      </c>
      <c r="C180" s="8">
        <v>1644.5</v>
      </c>
      <c r="D180" s="8">
        <v>807.1</v>
      </c>
      <c r="E180" s="8">
        <v>962.8</v>
      </c>
      <c r="F180" s="8">
        <v>1359.2</v>
      </c>
      <c r="G180" s="8">
        <v>1145.7</v>
      </c>
      <c r="H180" s="8">
        <v>9435.2000000000007</v>
      </c>
      <c r="I180" s="8">
        <v>3490</v>
      </c>
      <c r="J180" s="8">
        <v>1655.4</v>
      </c>
      <c r="K180" s="8">
        <v>778.6</v>
      </c>
      <c r="L180" s="8">
        <v>969.2</v>
      </c>
      <c r="M180" s="8">
        <v>1395.6</v>
      </c>
      <c r="N180" s="8">
        <v>1155.5999999999999</v>
      </c>
      <c r="O180" s="8">
        <v>9444.4</v>
      </c>
      <c r="P180" s="8">
        <v>3486.2</v>
      </c>
      <c r="Q180" s="8">
        <v>1672.5</v>
      </c>
      <c r="R180" s="8">
        <v>789.7</v>
      </c>
      <c r="S180" s="8">
        <v>971.2</v>
      </c>
      <c r="T180" s="8">
        <v>1394.3</v>
      </c>
      <c r="U180" s="8">
        <v>1174.4000000000001</v>
      </c>
      <c r="V180" s="8">
        <v>9487.5</v>
      </c>
    </row>
    <row r="181" spans="1:22" x14ac:dyDescent="0.15">
      <c r="A181" s="9">
        <v>35217</v>
      </c>
      <c r="B181" s="8">
        <v>3329.3</v>
      </c>
      <c r="C181" s="8">
        <v>1610.9</v>
      </c>
      <c r="D181" s="8">
        <v>755.8</v>
      </c>
      <c r="E181" s="8">
        <v>908.6</v>
      </c>
      <c r="F181" s="8">
        <v>1289.5</v>
      </c>
      <c r="G181" s="8">
        <v>1109</v>
      </c>
      <c r="H181" s="8">
        <v>9003.1</v>
      </c>
      <c r="I181" s="8">
        <v>3516</v>
      </c>
      <c r="J181" s="8">
        <v>1693</v>
      </c>
      <c r="K181" s="8">
        <v>791.1</v>
      </c>
      <c r="L181" s="8">
        <v>976.9</v>
      </c>
      <c r="M181" s="8">
        <v>1408.7</v>
      </c>
      <c r="N181" s="8">
        <v>1177.4000000000001</v>
      </c>
      <c r="O181" s="8">
        <v>9563.1</v>
      </c>
      <c r="P181" s="8">
        <v>3505.5</v>
      </c>
      <c r="Q181" s="8">
        <v>1688.6</v>
      </c>
      <c r="R181" s="8">
        <v>791.1</v>
      </c>
      <c r="S181" s="8">
        <v>969.6</v>
      </c>
      <c r="T181" s="8">
        <v>1391.9</v>
      </c>
      <c r="U181" s="8">
        <v>1165.4000000000001</v>
      </c>
      <c r="V181" s="8">
        <v>9512.4</v>
      </c>
    </row>
    <row r="182" spans="1:22" x14ac:dyDescent="0.15">
      <c r="A182" s="9">
        <v>35247</v>
      </c>
      <c r="B182" s="8">
        <v>3433.3</v>
      </c>
      <c r="C182" s="8">
        <v>1695</v>
      </c>
      <c r="D182" s="8">
        <v>777.9</v>
      </c>
      <c r="E182" s="8">
        <v>908</v>
      </c>
      <c r="F182" s="8">
        <v>1338.8</v>
      </c>
      <c r="G182" s="8">
        <v>1138.0999999999999</v>
      </c>
      <c r="H182" s="8">
        <v>9291.1</v>
      </c>
      <c r="I182" s="8">
        <v>3528.5</v>
      </c>
      <c r="J182" s="8">
        <v>1734.9</v>
      </c>
      <c r="K182" s="8">
        <v>803.8</v>
      </c>
      <c r="L182" s="8">
        <v>974</v>
      </c>
      <c r="M182" s="8">
        <v>1384.6</v>
      </c>
      <c r="N182" s="8">
        <v>1153.5</v>
      </c>
      <c r="O182" s="8">
        <v>9579.2000000000007</v>
      </c>
      <c r="P182" s="8">
        <v>3523</v>
      </c>
      <c r="Q182" s="8">
        <v>1698.7</v>
      </c>
      <c r="R182" s="8">
        <v>792.2</v>
      </c>
      <c r="S182" s="8">
        <v>966.7</v>
      </c>
      <c r="T182" s="8">
        <v>1389</v>
      </c>
      <c r="U182" s="8">
        <v>1154.4000000000001</v>
      </c>
      <c r="V182" s="8">
        <v>9523.2000000000007</v>
      </c>
    </row>
    <row r="183" spans="1:22" x14ac:dyDescent="0.15">
      <c r="A183" s="9">
        <v>35278</v>
      </c>
      <c r="B183" s="8">
        <v>3577.3</v>
      </c>
      <c r="C183" s="8">
        <v>1664.9</v>
      </c>
      <c r="D183" s="8">
        <v>746.1</v>
      </c>
      <c r="E183" s="8">
        <v>888.9</v>
      </c>
      <c r="F183" s="8">
        <v>1363.3</v>
      </c>
      <c r="G183" s="8">
        <v>1145.7</v>
      </c>
      <c r="H183" s="8">
        <v>9386.1</v>
      </c>
      <c r="I183" s="8">
        <v>3525.8</v>
      </c>
      <c r="J183" s="8">
        <v>1718.1</v>
      </c>
      <c r="K183" s="8">
        <v>793.4</v>
      </c>
      <c r="L183" s="8">
        <v>971</v>
      </c>
      <c r="M183" s="8">
        <v>1388.3</v>
      </c>
      <c r="N183" s="8">
        <v>1147.4000000000001</v>
      </c>
      <c r="O183" s="8">
        <v>9543.9</v>
      </c>
      <c r="P183" s="8">
        <v>3535.6</v>
      </c>
      <c r="Q183" s="8">
        <v>1704.5</v>
      </c>
      <c r="R183" s="8">
        <v>790.1</v>
      </c>
      <c r="S183" s="8">
        <v>962.4</v>
      </c>
      <c r="T183" s="8">
        <v>1384.3</v>
      </c>
      <c r="U183" s="8">
        <v>1140.8</v>
      </c>
      <c r="V183" s="8">
        <v>9517</v>
      </c>
    </row>
    <row r="184" spans="1:22" x14ac:dyDescent="0.15">
      <c r="A184" s="9">
        <v>35309</v>
      </c>
      <c r="B184" s="8">
        <v>3377.2</v>
      </c>
      <c r="C184" s="8">
        <v>1583.8</v>
      </c>
      <c r="D184" s="8">
        <v>739.9</v>
      </c>
      <c r="E184" s="8">
        <v>833.7</v>
      </c>
      <c r="F184" s="8">
        <v>1317.4</v>
      </c>
      <c r="G184" s="8">
        <v>1104.9000000000001</v>
      </c>
      <c r="H184" s="8">
        <v>8956.7999999999993</v>
      </c>
      <c r="I184" s="8">
        <v>3552</v>
      </c>
      <c r="J184" s="8">
        <v>1665.3</v>
      </c>
      <c r="K184" s="8">
        <v>786</v>
      </c>
      <c r="L184" s="8">
        <v>948.7</v>
      </c>
      <c r="M184" s="8">
        <v>1367.4</v>
      </c>
      <c r="N184" s="8">
        <v>1129.5</v>
      </c>
      <c r="O184" s="8">
        <v>9448.7999999999993</v>
      </c>
      <c r="P184" s="8">
        <v>3546.7</v>
      </c>
      <c r="Q184" s="8">
        <v>1702.7</v>
      </c>
      <c r="R184" s="8">
        <v>789.2</v>
      </c>
      <c r="S184" s="8">
        <v>959.3</v>
      </c>
      <c r="T184" s="8">
        <v>1382.2</v>
      </c>
      <c r="U184" s="8">
        <v>1127.7</v>
      </c>
      <c r="V184" s="8">
        <v>9507.1</v>
      </c>
    </row>
    <row r="185" spans="1:22" x14ac:dyDescent="0.15">
      <c r="A185" s="9">
        <v>35339</v>
      </c>
      <c r="B185" s="8">
        <v>3648.3</v>
      </c>
      <c r="C185" s="8">
        <v>1740.4</v>
      </c>
      <c r="D185" s="8">
        <v>806.1</v>
      </c>
      <c r="E185" s="8">
        <v>933.7</v>
      </c>
      <c r="F185" s="8">
        <v>1404.8</v>
      </c>
      <c r="G185" s="8">
        <v>1142.2</v>
      </c>
      <c r="H185" s="8">
        <v>9675.6</v>
      </c>
      <c r="I185" s="8">
        <v>3553.2</v>
      </c>
      <c r="J185" s="8">
        <v>1705</v>
      </c>
      <c r="K185" s="8">
        <v>787.8</v>
      </c>
      <c r="L185" s="8">
        <v>938</v>
      </c>
      <c r="M185" s="8">
        <v>1386.9</v>
      </c>
      <c r="N185" s="8">
        <v>1112.4000000000001</v>
      </c>
      <c r="O185" s="8">
        <v>9483.2999999999993</v>
      </c>
      <c r="P185" s="8">
        <v>3558.1</v>
      </c>
      <c r="Q185" s="8">
        <v>1702.9</v>
      </c>
      <c r="R185" s="8">
        <v>787.9</v>
      </c>
      <c r="S185" s="8">
        <v>961.1</v>
      </c>
      <c r="T185" s="8">
        <v>1384.6</v>
      </c>
      <c r="U185" s="8">
        <v>1119.2</v>
      </c>
      <c r="V185" s="8">
        <v>9512.9</v>
      </c>
    </row>
    <row r="186" spans="1:22" x14ac:dyDescent="0.15">
      <c r="A186" s="9">
        <v>35370</v>
      </c>
      <c r="B186" s="8">
        <v>3649.2</v>
      </c>
      <c r="C186" s="8">
        <v>1798.7</v>
      </c>
      <c r="D186" s="8">
        <v>808</v>
      </c>
      <c r="E186" s="8">
        <v>1081.5999999999999</v>
      </c>
      <c r="F186" s="8">
        <v>1463.1</v>
      </c>
      <c r="G186" s="8">
        <v>1129.4000000000001</v>
      </c>
      <c r="H186" s="8">
        <v>9930.1</v>
      </c>
      <c r="I186" s="8">
        <v>3578.6</v>
      </c>
      <c r="J186" s="8">
        <v>1701.7</v>
      </c>
      <c r="K186" s="8">
        <v>774.2</v>
      </c>
      <c r="L186" s="8">
        <v>973.2</v>
      </c>
      <c r="M186" s="8">
        <v>1388</v>
      </c>
      <c r="N186" s="8">
        <v>1107.4000000000001</v>
      </c>
      <c r="O186" s="8">
        <v>9523.2000000000007</v>
      </c>
      <c r="P186" s="8">
        <v>3571.8</v>
      </c>
      <c r="Q186" s="8">
        <v>1702.2</v>
      </c>
      <c r="R186" s="8">
        <v>786.6</v>
      </c>
      <c r="S186" s="8">
        <v>967.1</v>
      </c>
      <c r="T186" s="8">
        <v>1391.1</v>
      </c>
      <c r="U186" s="8">
        <v>1117.4000000000001</v>
      </c>
      <c r="V186" s="8">
        <v>9540.7999999999993</v>
      </c>
    </row>
    <row r="187" spans="1:22" x14ac:dyDescent="0.15">
      <c r="A187" s="9">
        <v>35400</v>
      </c>
      <c r="B187" s="8">
        <v>4034.4</v>
      </c>
      <c r="C187" s="8">
        <v>2296.1</v>
      </c>
      <c r="D187" s="8">
        <v>1148.8</v>
      </c>
      <c r="E187" s="8">
        <v>1837.6</v>
      </c>
      <c r="F187" s="8">
        <v>1975.8</v>
      </c>
      <c r="G187" s="8">
        <v>1230.8</v>
      </c>
      <c r="H187" s="8">
        <v>12523.5</v>
      </c>
      <c r="I187" s="8">
        <v>3565</v>
      </c>
      <c r="J187" s="8">
        <v>1716.9</v>
      </c>
      <c r="K187" s="8">
        <v>788.9</v>
      </c>
      <c r="L187" s="8">
        <v>982.2</v>
      </c>
      <c r="M187" s="8">
        <v>1409</v>
      </c>
      <c r="N187" s="8">
        <v>1107.5999999999999</v>
      </c>
      <c r="O187" s="8">
        <v>9569.5</v>
      </c>
      <c r="P187" s="8">
        <v>3586.8</v>
      </c>
      <c r="Q187" s="8">
        <v>1705.2</v>
      </c>
      <c r="R187" s="8">
        <v>788</v>
      </c>
      <c r="S187" s="8">
        <v>975.3</v>
      </c>
      <c r="T187" s="8">
        <v>1402.2</v>
      </c>
      <c r="U187" s="8">
        <v>1121.5</v>
      </c>
      <c r="V187" s="8">
        <v>9588.2999999999993</v>
      </c>
    </row>
    <row r="188" spans="1:22" x14ac:dyDescent="0.15">
      <c r="A188" s="9">
        <v>35431</v>
      </c>
      <c r="B188" s="8">
        <v>3688.2</v>
      </c>
      <c r="C188" s="8">
        <v>1686</v>
      </c>
      <c r="D188" s="8">
        <v>777.1</v>
      </c>
      <c r="E188" s="8">
        <v>840.9</v>
      </c>
      <c r="F188" s="8">
        <v>1344.2</v>
      </c>
      <c r="G188" s="8">
        <v>1180.0999999999999</v>
      </c>
      <c r="H188" s="8">
        <v>9516.5</v>
      </c>
      <c r="I188" s="8">
        <v>3613.2</v>
      </c>
      <c r="J188" s="8">
        <v>1699.9</v>
      </c>
      <c r="K188" s="8">
        <v>802.7</v>
      </c>
      <c r="L188" s="8">
        <v>972.4</v>
      </c>
      <c r="M188" s="8">
        <v>1402.2</v>
      </c>
      <c r="N188" s="8">
        <v>1143.4000000000001</v>
      </c>
      <c r="O188" s="8">
        <v>9633.7999999999993</v>
      </c>
      <c r="P188" s="8">
        <v>3603.6</v>
      </c>
      <c r="Q188" s="8">
        <v>1711.6</v>
      </c>
      <c r="R188" s="8">
        <v>789.7</v>
      </c>
      <c r="S188" s="8">
        <v>981.1</v>
      </c>
      <c r="T188" s="8">
        <v>1414.9</v>
      </c>
      <c r="U188" s="8">
        <v>1131.4000000000001</v>
      </c>
      <c r="V188" s="8">
        <v>9644.4</v>
      </c>
    </row>
    <row r="189" spans="1:22" x14ac:dyDescent="0.15">
      <c r="A189" s="9">
        <v>35462</v>
      </c>
      <c r="B189" s="8">
        <v>3363</v>
      </c>
      <c r="C189" s="8">
        <v>1576.9</v>
      </c>
      <c r="D189" s="8">
        <v>639.79999999999995</v>
      </c>
      <c r="E189" s="8">
        <v>727.4</v>
      </c>
      <c r="F189" s="8">
        <v>1269.3</v>
      </c>
      <c r="G189" s="8">
        <v>1059.5</v>
      </c>
      <c r="H189" s="8">
        <v>8636</v>
      </c>
      <c r="I189" s="8">
        <v>3621.4</v>
      </c>
      <c r="J189" s="8">
        <v>1782.5</v>
      </c>
      <c r="K189" s="8">
        <v>791.1</v>
      </c>
      <c r="L189" s="8">
        <v>1014.8</v>
      </c>
      <c r="M189" s="8">
        <v>1440.8</v>
      </c>
      <c r="N189" s="8">
        <v>1152.3</v>
      </c>
      <c r="O189" s="8">
        <v>9803</v>
      </c>
      <c r="P189" s="8">
        <v>3615.2</v>
      </c>
      <c r="Q189" s="8">
        <v>1718.5</v>
      </c>
      <c r="R189" s="8">
        <v>792.8</v>
      </c>
      <c r="S189" s="8">
        <v>982</v>
      </c>
      <c r="T189" s="8">
        <v>1428.8</v>
      </c>
      <c r="U189" s="8">
        <v>1143.4000000000001</v>
      </c>
      <c r="V189" s="8">
        <v>9694.6</v>
      </c>
    </row>
    <row r="190" spans="1:22" x14ac:dyDescent="0.15">
      <c r="A190" s="9">
        <v>35490</v>
      </c>
      <c r="B190" s="8">
        <v>3676.9</v>
      </c>
      <c r="C190" s="8">
        <v>1608.8</v>
      </c>
      <c r="D190" s="8">
        <v>700.9</v>
      </c>
      <c r="E190" s="8">
        <v>857.9</v>
      </c>
      <c r="F190" s="8">
        <v>1332.5</v>
      </c>
      <c r="G190" s="8">
        <v>1148</v>
      </c>
      <c r="H190" s="8">
        <v>9325</v>
      </c>
      <c r="I190" s="8">
        <v>3648.7</v>
      </c>
      <c r="J190" s="8">
        <v>1738.9</v>
      </c>
      <c r="K190" s="8">
        <v>793.7</v>
      </c>
      <c r="L190" s="8">
        <v>980.8</v>
      </c>
      <c r="M190" s="8">
        <v>1444.7</v>
      </c>
      <c r="N190" s="8">
        <v>1158</v>
      </c>
      <c r="O190" s="8">
        <v>9764.7999999999993</v>
      </c>
      <c r="P190" s="8">
        <v>3626.5</v>
      </c>
      <c r="Q190" s="8">
        <v>1723.1</v>
      </c>
      <c r="R190" s="8">
        <v>795.7</v>
      </c>
      <c r="S190" s="8">
        <v>977.6</v>
      </c>
      <c r="T190" s="8">
        <v>1440.8</v>
      </c>
      <c r="U190" s="8">
        <v>1155</v>
      </c>
      <c r="V190" s="8">
        <v>9731.7999999999993</v>
      </c>
    </row>
    <row r="191" spans="1:22" x14ac:dyDescent="0.15">
      <c r="A191" s="9">
        <v>35521</v>
      </c>
      <c r="B191" s="8">
        <v>3480.1</v>
      </c>
      <c r="C191" s="8">
        <v>1610.8</v>
      </c>
      <c r="D191" s="8">
        <v>775.5</v>
      </c>
      <c r="E191" s="8">
        <v>849</v>
      </c>
      <c r="F191" s="8">
        <v>1364.4</v>
      </c>
      <c r="G191" s="8">
        <v>1141.3</v>
      </c>
      <c r="H191" s="8">
        <v>9221.1</v>
      </c>
      <c r="I191" s="8">
        <v>3601.3</v>
      </c>
      <c r="J191" s="8">
        <v>1709</v>
      </c>
      <c r="K191" s="8">
        <v>786.2</v>
      </c>
      <c r="L191" s="8">
        <v>942.8</v>
      </c>
      <c r="M191" s="8">
        <v>1447.8</v>
      </c>
      <c r="N191" s="8">
        <v>1155.4000000000001</v>
      </c>
      <c r="O191" s="8">
        <v>9642.5</v>
      </c>
      <c r="P191" s="8">
        <v>3633.5</v>
      </c>
      <c r="Q191" s="8">
        <v>1727.5</v>
      </c>
      <c r="R191" s="8">
        <v>798.3</v>
      </c>
      <c r="S191" s="8">
        <v>971.7</v>
      </c>
      <c r="T191" s="8">
        <v>1452.5</v>
      </c>
      <c r="U191" s="8">
        <v>1164.9000000000001</v>
      </c>
      <c r="V191" s="8">
        <v>9759.4</v>
      </c>
    </row>
    <row r="192" spans="1:22" x14ac:dyDescent="0.15">
      <c r="A192" s="9">
        <v>35551</v>
      </c>
      <c r="B192" s="8">
        <v>3682.6</v>
      </c>
      <c r="C192" s="8">
        <v>1712.9</v>
      </c>
      <c r="D192" s="8">
        <v>845.3</v>
      </c>
      <c r="E192" s="8">
        <v>994.8</v>
      </c>
      <c r="F192" s="8">
        <v>1413.2</v>
      </c>
      <c r="G192" s="8">
        <v>1170.3</v>
      </c>
      <c r="H192" s="8">
        <v>9819.1</v>
      </c>
      <c r="I192" s="8">
        <v>3644.8</v>
      </c>
      <c r="J192" s="8">
        <v>1742.4</v>
      </c>
      <c r="K192" s="8">
        <v>818</v>
      </c>
      <c r="L192" s="8">
        <v>983.2</v>
      </c>
      <c r="M192" s="8">
        <v>1462.7</v>
      </c>
      <c r="N192" s="8">
        <v>1174.2</v>
      </c>
      <c r="O192" s="8">
        <v>9825.2999999999993</v>
      </c>
      <c r="P192" s="8">
        <v>3640.8</v>
      </c>
      <c r="Q192" s="8">
        <v>1730.7</v>
      </c>
      <c r="R192" s="8">
        <v>800.8</v>
      </c>
      <c r="S192" s="8">
        <v>969.1</v>
      </c>
      <c r="T192" s="8">
        <v>1463.2</v>
      </c>
      <c r="U192" s="8">
        <v>1171.9000000000001</v>
      </c>
      <c r="V192" s="8">
        <v>9785.2000000000007</v>
      </c>
    </row>
    <row r="193" spans="1:22" x14ac:dyDescent="0.15">
      <c r="A193" s="9">
        <v>35582</v>
      </c>
      <c r="B193" s="8">
        <v>3414.8</v>
      </c>
      <c r="C193" s="8">
        <v>1664.3</v>
      </c>
      <c r="D193" s="8">
        <v>749.4</v>
      </c>
      <c r="E193" s="8">
        <v>830.2</v>
      </c>
      <c r="F193" s="8">
        <v>1344.5</v>
      </c>
      <c r="G193" s="8">
        <v>1113.5</v>
      </c>
      <c r="H193" s="8">
        <v>9116.7000000000007</v>
      </c>
      <c r="I193" s="8">
        <v>3668.5</v>
      </c>
      <c r="J193" s="8">
        <v>1736.3</v>
      </c>
      <c r="K193" s="8">
        <v>797.5</v>
      </c>
      <c r="L193" s="8">
        <v>940.5</v>
      </c>
      <c r="M193" s="8">
        <v>1471</v>
      </c>
      <c r="N193" s="8">
        <v>1179.5</v>
      </c>
      <c r="O193" s="8">
        <v>9793.2999999999993</v>
      </c>
      <c r="P193" s="8">
        <v>3647</v>
      </c>
      <c r="Q193" s="8">
        <v>1732.4</v>
      </c>
      <c r="R193" s="8">
        <v>801.9</v>
      </c>
      <c r="S193" s="8">
        <v>972.3</v>
      </c>
      <c r="T193" s="8">
        <v>1472.4</v>
      </c>
      <c r="U193" s="8">
        <v>1175.5</v>
      </c>
      <c r="V193" s="8">
        <v>9816.4</v>
      </c>
    </row>
    <row r="194" spans="1:22" x14ac:dyDescent="0.15">
      <c r="A194" s="9">
        <v>35612</v>
      </c>
      <c r="B194" s="8">
        <v>3652.3</v>
      </c>
      <c r="C194" s="8">
        <v>1698</v>
      </c>
      <c r="D194" s="8">
        <v>791.7</v>
      </c>
      <c r="E194" s="8">
        <v>971.1</v>
      </c>
      <c r="F194" s="8">
        <v>1441.7</v>
      </c>
      <c r="G194" s="8">
        <v>1164.5999999999999</v>
      </c>
      <c r="H194" s="8">
        <v>9719.2999999999993</v>
      </c>
      <c r="I194" s="8">
        <v>3679.4</v>
      </c>
      <c r="J194" s="8">
        <v>1736.1</v>
      </c>
      <c r="K194" s="8">
        <v>806.9</v>
      </c>
      <c r="L194" s="8">
        <v>1000.9</v>
      </c>
      <c r="M194" s="8">
        <v>1481.8</v>
      </c>
      <c r="N194" s="8">
        <v>1172.7</v>
      </c>
      <c r="O194" s="8">
        <v>9877.7999999999993</v>
      </c>
      <c r="P194" s="8">
        <v>3694</v>
      </c>
      <c r="Q194" s="8">
        <v>1734.5</v>
      </c>
      <c r="R194" s="8">
        <v>804.8</v>
      </c>
      <c r="S194" s="8">
        <v>979.4</v>
      </c>
      <c r="T194" s="8">
        <v>1482.1</v>
      </c>
      <c r="U194" s="8">
        <v>1177.0999999999999</v>
      </c>
      <c r="V194" s="8">
        <v>9856.9</v>
      </c>
    </row>
    <row r="195" spans="1:22" x14ac:dyDescent="0.15">
      <c r="A195" s="9">
        <v>35643</v>
      </c>
      <c r="B195" s="8">
        <v>3669</v>
      </c>
      <c r="C195" s="8">
        <v>1662.9</v>
      </c>
      <c r="D195" s="8">
        <v>740.1</v>
      </c>
      <c r="E195" s="8">
        <v>836</v>
      </c>
      <c r="F195" s="8">
        <v>1443.5</v>
      </c>
      <c r="G195" s="8">
        <v>1173.3</v>
      </c>
      <c r="H195" s="8">
        <v>9524.7999999999993</v>
      </c>
      <c r="I195" s="8">
        <v>3703.6</v>
      </c>
      <c r="J195" s="8">
        <v>1731.9</v>
      </c>
      <c r="K195" s="8">
        <v>802.2</v>
      </c>
      <c r="L195" s="8">
        <v>980</v>
      </c>
      <c r="M195" s="8">
        <v>1490.3</v>
      </c>
      <c r="N195" s="8">
        <v>1186.7</v>
      </c>
      <c r="O195" s="8">
        <v>9894.7000000000007</v>
      </c>
      <c r="P195" s="8">
        <v>3708.9</v>
      </c>
      <c r="Q195" s="8">
        <v>1737.7</v>
      </c>
      <c r="R195" s="8">
        <v>809.1</v>
      </c>
      <c r="S195" s="8">
        <v>988.3</v>
      </c>
      <c r="T195" s="8">
        <v>1489.2</v>
      </c>
      <c r="U195" s="8">
        <v>1177.5</v>
      </c>
      <c r="V195" s="8">
        <v>9906.7999999999993</v>
      </c>
    </row>
    <row r="196" spans="1:22" x14ac:dyDescent="0.15">
      <c r="A196" s="9">
        <v>35674</v>
      </c>
      <c r="B196" s="8">
        <v>3585.7</v>
      </c>
      <c r="C196" s="8">
        <v>1678.9</v>
      </c>
      <c r="D196" s="8">
        <v>777.5</v>
      </c>
      <c r="E196" s="8">
        <v>939.1</v>
      </c>
      <c r="F196" s="8">
        <v>1461.3</v>
      </c>
      <c r="G196" s="8">
        <v>1154.0999999999999</v>
      </c>
      <c r="H196" s="8">
        <v>9596.6</v>
      </c>
      <c r="I196" s="8">
        <v>3730.1</v>
      </c>
      <c r="J196" s="8">
        <v>1740.3</v>
      </c>
      <c r="K196" s="8">
        <v>811.9</v>
      </c>
      <c r="L196" s="8">
        <v>1018</v>
      </c>
      <c r="M196" s="8">
        <v>1497.5</v>
      </c>
      <c r="N196" s="8">
        <v>1172.7</v>
      </c>
      <c r="O196" s="8">
        <v>9970.5</v>
      </c>
      <c r="P196" s="8">
        <v>3730.6</v>
      </c>
      <c r="Q196" s="8">
        <v>1747.1</v>
      </c>
      <c r="R196" s="8">
        <v>815.5</v>
      </c>
      <c r="S196" s="8">
        <v>996.6</v>
      </c>
      <c r="T196" s="8">
        <v>1494.2</v>
      </c>
      <c r="U196" s="8">
        <v>1176.5999999999999</v>
      </c>
      <c r="V196" s="8">
        <v>9960.1</v>
      </c>
    </row>
    <row r="197" spans="1:22" x14ac:dyDescent="0.15">
      <c r="A197" s="9">
        <v>35704</v>
      </c>
      <c r="B197" s="8">
        <v>3879.4</v>
      </c>
      <c r="C197" s="8">
        <v>1811.1</v>
      </c>
      <c r="D197" s="8">
        <v>841.7</v>
      </c>
      <c r="E197" s="8">
        <v>976.9</v>
      </c>
      <c r="F197" s="8">
        <v>1523.2</v>
      </c>
      <c r="G197" s="8">
        <v>1204.8</v>
      </c>
      <c r="H197" s="8">
        <v>10237</v>
      </c>
      <c r="I197" s="8">
        <v>3743.2</v>
      </c>
      <c r="J197" s="8">
        <v>1754.6</v>
      </c>
      <c r="K197" s="8">
        <v>820.8</v>
      </c>
      <c r="L197" s="8">
        <v>998.1</v>
      </c>
      <c r="M197" s="8">
        <v>1497.5</v>
      </c>
      <c r="N197" s="8">
        <v>1163.5999999999999</v>
      </c>
      <c r="O197" s="8">
        <v>9977.7999999999993</v>
      </c>
      <c r="P197" s="8">
        <v>3752.7</v>
      </c>
      <c r="Q197" s="8">
        <v>1758.8</v>
      </c>
      <c r="R197" s="8">
        <v>820.4</v>
      </c>
      <c r="S197" s="8">
        <v>1001.1</v>
      </c>
      <c r="T197" s="8">
        <v>1497.4</v>
      </c>
      <c r="U197" s="8">
        <v>1173.2</v>
      </c>
      <c r="V197" s="8">
        <v>10006.4</v>
      </c>
    </row>
    <row r="198" spans="1:22" x14ac:dyDescent="0.15">
      <c r="A198" s="9">
        <v>35735</v>
      </c>
      <c r="B198" s="8">
        <v>3794</v>
      </c>
      <c r="C198" s="8">
        <v>1835.5</v>
      </c>
      <c r="D198" s="8">
        <v>863.6</v>
      </c>
      <c r="E198" s="8">
        <v>1111.3</v>
      </c>
      <c r="F198" s="8">
        <v>1552.9</v>
      </c>
      <c r="G198" s="8">
        <v>1183.7</v>
      </c>
      <c r="H198" s="8">
        <v>10340.9</v>
      </c>
      <c r="I198" s="8">
        <v>3784</v>
      </c>
      <c r="J198" s="8">
        <v>1777.2</v>
      </c>
      <c r="K198" s="8">
        <v>837.6</v>
      </c>
      <c r="L198" s="8">
        <v>995.5</v>
      </c>
      <c r="M198" s="8">
        <v>1499.8</v>
      </c>
      <c r="N198" s="8">
        <v>1174.5999999999999</v>
      </c>
      <c r="O198" s="8">
        <v>10068.6</v>
      </c>
      <c r="P198" s="8">
        <v>3775</v>
      </c>
      <c r="Q198" s="8">
        <v>1775.9</v>
      </c>
      <c r="R198" s="8">
        <v>826.9</v>
      </c>
      <c r="S198" s="8">
        <v>1002.9</v>
      </c>
      <c r="T198" s="8">
        <v>1499.9</v>
      </c>
      <c r="U198" s="8">
        <v>1167.5</v>
      </c>
      <c r="V198" s="8">
        <v>10042.4</v>
      </c>
    </row>
    <row r="199" spans="1:22" x14ac:dyDescent="0.15">
      <c r="A199" s="9">
        <v>35765</v>
      </c>
      <c r="B199" s="8">
        <v>4339.8</v>
      </c>
      <c r="C199" s="8">
        <v>2418.4</v>
      </c>
      <c r="D199" s="8">
        <v>1231.0999999999999</v>
      </c>
      <c r="E199" s="8">
        <v>1879.1</v>
      </c>
      <c r="F199" s="8">
        <v>2143.1</v>
      </c>
      <c r="G199" s="8">
        <v>1306.7</v>
      </c>
      <c r="H199" s="8">
        <v>13318.2</v>
      </c>
      <c r="I199" s="8">
        <v>3790.8</v>
      </c>
      <c r="J199" s="8">
        <v>1789.8</v>
      </c>
      <c r="K199" s="8">
        <v>832.1</v>
      </c>
      <c r="L199" s="8">
        <v>989.2</v>
      </c>
      <c r="M199" s="8">
        <v>1496.9</v>
      </c>
      <c r="N199" s="8">
        <v>1173.4000000000001</v>
      </c>
      <c r="O199" s="8">
        <v>10072.200000000001</v>
      </c>
      <c r="P199" s="8">
        <v>3792.1</v>
      </c>
      <c r="Q199" s="8">
        <v>1793.1</v>
      </c>
      <c r="R199" s="8">
        <v>830.1</v>
      </c>
      <c r="S199" s="8">
        <v>1004.8</v>
      </c>
      <c r="T199" s="8">
        <v>1501.1</v>
      </c>
      <c r="U199" s="8">
        <v>1161.3</v>
      </c>
      <c r="V199" s="8">
        <v>10068.700000000001</v>
      </c>
    </row>
    <row r="200" spans="1:22" x14ac:dyDescent="0.15">
      <c r="A200" s="9">
        <v>35796</v>
      </c>
      <c r="B200" s="8">
        <v>3973.8</v>
      </c>
      <c r="C200" s="8">
        <v>1724.9</v>
      </c>
      <c r="D200" s="8">
        <v>803.2</v>
      </c>
      <c r="E200" s="8">
        <v>917.3</v>
      </c>
      <c r="F200" s="8">
        <v>1437.6</v>
      </c>
      <c r="G200" s="8">
        <v>1185.9000000000001</v>
      </c>
      <c r="H200" s="8">
        <v>10042.700000000001</v>
      </c>
      <c r="I200" s="8">
        <v>3870.9</v>
      </c>
      <c r="J200" s="8">
        <v>1742.6</v>
      </c>
      <c r="K200" s="8">
        <v>829</v>
      </c>
      <c r="L200" s="8">
        <v>1026.4000000000001</v>
      </c>
      <c r="M200" s="8">
        <v>1507.8</v>
      </c>
      <c r="N200" s="8">
        <v>1152.3</v>
      </c>
      <c r="O200" s="8">
        <v>10129.1</v>
      </c>
      <c r="P200" s="8">
        <v>3842.6</v>
      </c>
      <c r="Q200" s="8">
        <v>1726.7</v>
      </c>
      <c r="R200" s="8">
        <v>834.1</v>
      </c>
      <c r="S200" s="8">
        <v>1004.4</v>
      </c>
      <c r="T200" s="8">
        <v>1502.7</v>
      </c>
      <c r="U200" s="8">
        <v>1155.5999999999999</v>
      </c>
      <c r="V200" s="8">
        <v>10082.5</v>
      </c>
    </row>
    <row r="201" spans="1:22" x14ac:dyDescent="0.15">
      <c r="A201" s="9">
        <v>35827</v>
      </c>
      <c r="B201" s="8">
        <v>3571.6</v>
      </c>
      <c r="C201" s="8">
        <v>1531.3</v>
      </c>
      <c r="D201" s="8">
        <v>681</v>
      </c>
      <c r="E201" s="8">
        <v>716.2</v>
      </c>
      <c r="F201" s="8">
        <v>1322.4</v>
      </c>
      <c r="G201" s="8">
        <v>1050</v>
      </c>
      <c r="H201" s="8">
        <v>8872.4</v>
      </c>
      <c r="I201" s="8">
        <v>3850.1</v>
      </c>
      <c r="J201" s="8">
        <v>1730.4</v>
      </c>
      <c r="K201" s="8">
        <v>844.6</v>
      </c>
      <c r="L201" s="8">
        <v>1002.5</v>
      </c>
      <c r="M201" s="8">
        <v>1504.2</v>
      </c>
      <c r="N201" s="8">
        <v>1145.3</v>
      </c>
      <c r="O201" s="8">
        <v>10077.1</v>
      </c>
      <c r="P201" s="8">
        <v>3853</v>
      </c>
      <c r="Q201" s="8">
        <v>1737.1</v>
      </c>
      <c r="R201" s="8">
        <v>839.6</v>
      </c>
      <c r="S201" s="8">
        <v>1003.6</v>
      </c>
      <c r="T201" s="8">
        <v>1503.8</v>
      </c>
      <c r="U201" s="8">
        <v>1153.8</v>
      </c>
      <c r="V201" s="8">
        <v>10091.6</v>
      </c>
    </row>
    <row r="202" spans="1:22" x14ac:dyDescent="0.15">
      <c r="A202" s="9">
        <v>35855</v>
      </c>
      <c r="B202" s="8">
        <v>3799.6</v>
      </c>
      <c r="C202" s="8">
        <v>1660</v>
      </c>
      <c r="D202" s="8">
        <v>749.7</v>
      </c>
      <c r="E202" s="8">
        <v>822.9</v>
      </c>
      <c r="F202" s="8">
        <v>1402.3</v>
      </c>
      <c r="G202" s="8">
        <v>1141.0999999999999</v>
      </c>
      <c r="H202" s="8">
        <v>9575.7000000000007</v>
      </c>
      <c r="I202" s="8">
        <v>3850.7</v>
      </c>
      <c r="J202" s="8">
        <v>1739.5</v>
      </c>
      <c r="K202" s="8">
        <v>833</v>
      </c>
      <c r="L202" s="8">
        <v>992.1</v>
      </c>
      <c r="M202" s="8">
        <v>1497.7</v>
      </c>
      <c r="N202" s="8">
        <v>1148.5</v>
      </c>
      <c r="O202" s="8">
        <v>10061.5</v>
      </c>
      <c r="P202" s="8">
        <v>3866.6</v>
      </c>
      <c r="Q202" s="8">
        <v>1737.5</v>
      </c>
      <c r="R202" s="8">
        <v>847.2</v>
      </c>
      <c r="S202" s="8">
        <v>1003</v>
      </c>
      <c r="T202" s="8">
        <v>1505.1</v>
      </c>
      <c r="U202" s="8">
        <v>1154.2</v>
      </c>
      <c r="V202" s="8">
        <v>10103.9</v>
      </c>
    </row>
    <row r="203" spans="1:22" x14ac:dyDescent="0.15">
      <c r="A203" s="9">
        <v>35886</v>
      </c>
      <c r="B203" s="8">
        <v>3832.3</v>
      </c>
      <c r="C203" s="8">
        <v>1602</v>
      </c>
      <c r="D203" s="8">
        <v>829.8</v>
      </c>
      <c r="E203" s="8">
        <v>970.1</v>
      </c>
      <c r="F203" s="8">
        <v>1415.8</v>
      </c>
      <c r="G203" s="8">
        <v>1106.7</v>
      </c>
      <c r="H203" s="8">
        <v>9756.6</v>
      </c>
      <c r="I203" s="8">
        <v>3858.7</v>
      </c>
      <c r="J203" s="8">
        <v>1746.9</v>
      </c>
      <c r="K203" s="8">
        <v>856.2</v>
      </c>
      <c r="L203" s="8">
        <v>1022.5</v>
      </c>
      <c r="M203" s="8">
        <v>1515.4</v>
      </c>
      <c r="N203" s="8">
        <v>1119.8</v>
      </c>
      <c r="O203" s="8">
        <v>10119.4</v>
      </c>
      <c r="P203" s="8">
        <v>3884</v>
      </c>
      <c r="Q203" s="8">
        <v>1734.6</v>
      </c>
      <c r="R203" s="8">
        <v>856.7</v>
      </c>
      <c r="S203" s="8">
        <v>1004.2</v>
      </c>
      <c r="T203" s="8">
        <v>1506.3</v>
      </c>
      <c r="U203" s="8">
        <v>1128.5</v>
      </c>
      <c r="V203" s="8">
        <v>10126.6</v>
      </c>
    </row>
    <row r="204" spans="1:22" x14ac:dyDescent="0.15">
      <c r="A204" s="9">
        <v>35916</v>
      </c>
      <c r="B204" s="8">
        <v>3882.4</v>
      </c>
      <c r="C204" s="8">
        <v>1677</v>
      </c>
      <c r="D204" s="8">
        <v>894</v>
      </c>
      <c r="E204" s="8">
        <v>970.2</v>
      </c>
      <c r="F204" s="8">
        <v>1432.9</v>
      </c>
      <c r="G204" s="8">
        <v>1144.2</v>
      </c>
      <c r="H204" s="8">
        <v>10000.6</v>
      </c>
      <c r="I204" s="8">
        <v>3914.8</v>
      </c>
      <c r="J204" s="8">
        <v>1726.8</v>
      </c>
      <c r="K204" s="8">
        <v>877</v>
      </c>
      <c r="L204" s="8">
        <v>1002.7</v>
      </c>
      <c r="M204" s="8">
        <v>1502.3</v>
      </c>
      <c r="N204" s="8">
        <v>1153.3</v>
      </c>
      <c r="O204" s="8">
        <v>10176.700000000001</v>
      </c>
      <c r="P204" s="8">
        <v>3904.9</v>
      </c>
      <c r="Q204" s="8">
        <v>1735</v>
      </c>
      <c r="R204" s="8">
        <v>871.5</v>
      </c>
      <c r="S204" s="8">
        <v>1006.6</v>
      </c>
      <c r="T204" s="8">
        <v>1510.7</v>
      </c>
      <c r="U204" s="8">
        <v>1136.3</v>
      </c>
      <c r="V204" s="8">
        <v>10164.9</v>
      </c>
    </row>
    <row r="205" spans="1:22" x14ac:dyDescent="0.15">
      <c r="A205" s="9">
        <v>35947</v>
      </c>
      <c r="B205" s="8">
        <v>3705.2</v>
      </c>
      <c r="C205" s="8">
        <v>1668.8</v>
      </c>
      <c r="D205" s="8">
        <v>835</v>
      </c>
      <c r="E205" s="8">
        <v>849.4</v>
      </c>
      <c r="F205" s="8">
        <v>1409.5</v>
      </c>
      <c r="G205" s="8">
        <v>1088.2</v>
      </c>
      <c r="H205" s="8">
        <v>9556.1</v>
      </c>
      <c r="I205" s="8">
        <v>3958.6</v>
      </c>
      <c r="J205" s="8">
        <v>1726.5</v>
      </c>
      <c r="K205" s="8">
        <v>879.6</v>
      </c>
      <c r="L205" s="8">
        <v>954.6</v>
      </c>
      <c r="M205" s="8">
        <v>1523.3</v>
      </c>
      <c r="N205" s="8">
        <v>1147.5</v>
      </c>
      <c r="O205" s="8">
        <v>10190</v>
      </c>
      <c r="P205" s="8">
        <v>3933.1</v>
      </c>
      <c r="Q205" s="8">
        <v>1730.2</v>
      </c>
      <c r="R205" s="8">
        <v>883.3</v>
      </c>
      <c r="S205" s="8">
        <v>1011</v>
      </c>
      <c r="T205" s="8">
        <v>1516.2</v>
      </c>
      <c r="U205" s="8">
        <v>1147.4000000000001</v>
      </c>
      <c r="V205" s="8">
        <v>10220.299999999999</v>
      </c>
    </row>
    <row r="206" spans="1:22" x14ac:dyDescent="0.15">
      <c r="A206" s="9">
        <v>35977</v>
      </c>
      <c r="B206" s="8">
        <v>3951.3</v>
      </c>
      <c r="C206" s="8">
        <v>1699.6</v>
      </c>
      <c r="D206" s="8">
        <v>888.2</v>
      </c>
      <c r="E206" s="8">
        <v>1042.3</v>
      </c>
      <c r="F206" s="8">
        <v>1481.7</v>
      </c>
      <c r="G206" s="8">
        <v>1162.2</v>
      </c>
      <c r="H206" s="8">
        <v>10225.4</v>
      </c>
      <c r="I206" s="8">
        <v>3941.7</v>
      </c>
      <c r="J206" s="8">
        <v>1717.7</v>
      </c>
      <c r="K206" s="8">
        <v>903.2</v>
      </c>
      <c r="L206" s="8">
        <v>1079.2</v>
      </c>
      <c r="M206" s="8">
        <v>1514.4</v>
      </c>
      <c r="N206" s="8">
        <v>1157</v>
      </c>
      <c r="O206" s="8">
        <v>10313.200000000001</v>
      </c>
      <c r="P206" s="8">
        <v>3961</v>
      </c>
      <c r="Q206" s="8">
        <v>1725.1</v>
      </c>
      <c r="R206" s="8">
        <v>894.3</v>
      </c>
      <c r="S206" s="8">
        <v>1015.4</v>
      </c>
      <c r="T206" s="8">
        <v>1522.1</v>
      </c>
      <c r="U206" s="8">
        <v>1158.7</v>
      </c>
      <c r="V206" s="8">
        <v>10276.299999999999</v>
      </c>
    </row>
    <row r="207" spans="1:22" x14ac:dyDescent="0.15">
      <c r="A207" s="9">
        <v>36008</v>
      </c>
      <c r="B207" s="8">
        <v>3888.9</v>
      </c>
      <c r="C207" s="8">
        <v>1649.9</v>
      </c>
      <c r="D207" s="8">
        <v>822.5</v>
      </c>
      <c r="E207" s="8">
        <v>869.9</v>
      </c>
      <c r="F207" s="8">
        <v>1459.4</v>
      </c>
      <c r="G207" s="8">
        <v>1144.8</v>
      </c>
      <c r="H207" s="8">
        <v>9835.4</v>
      </c>
      <c r="I207" s="8">
        <v>3988.9</v>
      </c>
      <c r="J207" s="8">
        <v>1729.3</v>
      </c>
      <c r="K207" s="8">
        <v>903.3</v>
      </c>
      <c r="L207" s="8">
        <v>1014.4</v>
      </c>
      <c r="M207" s="8">
        <v>1520.4</v>
      </c>
      <c r="N207" s="8">
        <v>1162.2</v>
      </c>
      <c r="O207" s="8">
        <v>10318.5</v>
      </c>
      <c r="P207" s="8">
        <v>3987.1</v>
      </c>
      <c r="Q207" s="8">
        <v>1723.3</v>
      </c>
      <c r="R207" s="8">
        <v>901.8</v>
      </c>
      <c r="S207" s="8">
        <v>1019.8</v>
      </c>
      <c r="T207" s="8">
        <v>1528.7</v>
      </c>
      <c r="U207" s="8">
        <v>1168.5</v>
      </c>
      <c r="V207" s="8">
        <v>10326.1</v>
      </c>
    </row>
    <row r="208" spans="1:22" x14ac:dyDescent="0.15">
      <c r="A208" s="9">
        <v>36039</v>
      </c>
      <c r="B208" s="8">
        <v>3897.8</v>
      </c>
      <c r="C208" s="8">
        <v>1685</v>
      </c>
      <c r="D208" s="8">
        <v>869.3</v>
      </c>
      <c r="E208" s="8">
        <v>939.4</v>
      </c>
      <c r="F208" s="8">
        <v>1518.7</v>
      </c>
      <c r="G208" s="8">
        <v>1149.5</v>
      </c>
      <c r="H208" s="8">
        <v>10059.799999999999</v>
      </c>
      <c r="I208" s="8">
        <v>4015</v>
      </c>
      <c r="J208" s="8">
        <v>1734</v>
      </c>
      <c r="K208" s="8">
        <v>901.1</v>
      </c>
      <c r="L208" s="8">
        <v>1019.8</v>
      </c>
      <c r="M208" s="8">
        <v>1549.5</v>
      </c>
      <c r="N208" s="8">
        <v>1168.4000000000001</v>
      </c>
      <c r="O208" s="8">
        <v>10387.799999999999</v>
      </c>
      <c r="P208" s="8">
        <v>4009.1</v>
      </c>
      <c r="Q208" s="8">
        <v>1722.9</v>
      </c>
      <c r="R208" s="8">
        <v>902.3</v>
      </c>
      <c r="S208" s="8">
        <v>1023.9</v>
      </c>
      <c r="T208" s="8">
        <v>1533.6</v>
      </c>
      <c r="U208" s="8">
        <v>1177.0999999999999</v>
      </c>
      <c r="V208" s="8">
        <v>10369.9</v>
      </c>
    </row>
    <row r="209" spans="1:22" x14ac:dyDescent="0.15">
      <c r="A209" s="9">
        <v>36069</v>
      </c>
      <c r="B209" s="8">
        <v>4213.3</v>
      </c>
      <c r="C209" s="8">
        <v>1783.6</v>
      </c>
      <c r="D209" s="8">
        <v>928.8</v>
      </c>
      <c r="E209" s="8">
        <v>1021.3</v>
      </c>
      <c r="F209" s="8">
        <v>1567.9</v>
      </c>
      <c r="G209" s="8">
        <v>1258.5999999999999</v>
      </c>
      <c r="H209" s="8">
        <v>10773.4</v>
      </c>
      <c r="I209" s="8">
        <v>4050.8</v>
      </c>
      <c r="J209" s="8">
        <v>1734.9</v>
      </c>
      <c r="K209" s="8">
        <v>906.5</v>
      </c>
      <c r="L209" s="8">
        <v>1014.8</v>
      </c>
      <c r="M209" s="8">
        <v>1551.3</v>
      </c>
      <c r="N209" s="8">
        <v>1215.2</v>
      </c>
      <c r="O209" s="8">
        <v>10473.6</v>
      </c>
      <c r="P209" s="8">
        <v>4033.2</v>
      </c>
      <c r="Q209" s="8">
        <v>1724.5</v>
      </c>
      <c r="R209" s="8">
        <v>902.6</v>
      </c>
      <c r="S209" s="8">
        <v>1029.2</v>
      </c>
      <c r="T209" s="8">
        <v>1540.5</v>
      </c>
      <c r="U209" s="8">
        <v>1185</v>
      </c>
      <c r="V209" s="8">
        <v>10416.299999999999</v>
      </c>
    </row>
    <row r="210" spans="1:22" x14ac:dyDescent="0.15">
      <c r="A210" s="9">
        <v>36100</v>
      </c>
      <c r="B210" s="8">
        <v>4003.3</v>
      </c>
      <c r="C210" s="8">
        <v>1776</v>
      </c>
      <c r="D210" s="8">
        <v>925.5</v>
      </c>
      <c r="E210" s="8">
        <v>1137.7</v>
      </c>
      <c r="F210" s="8">
        <v>1599.4</v>
      </c>
      <c r="G210" s="8">
        <v>1200.8</v>
      </c>
      <c r="H210" s="8">
        <v>10642.7</v>
      </c>
      <c r="I210" s="8">
        <v>4050.8</v>
      </c>
      <c r="J210" s="8">
        <v>1706.1</v>
      </c>
      <c r="K210" s="8">
        <v>901.4</v>
      </c>
      <c r="L210" s="8">
        <v>1039.9000000000001</v>
      </c>
      <c r="M210" s="8">
        <v>1545.6</v>
      </c>
      <c r="N210" s="8">
        <v>1191.4000000000001</v>
      </c>
      <c r="O210" s="8">
        <v>10435.1</v>
      </c>
      <c r="P210" s="8">
        <v>4057.1</v>
      </c>
      <c r="Q210" s="8">
        <v>1740.2</v>
      </c>
      <c r="R210" s="8">
        <v>902</v>
      </c>
      <c r="S210" s="8">
        <v>1035.3</v>
      </c>
      <c r="T210" s="8">
        <v>1547.4</v>
      </c>
      <c r="U210" s="8">
        <v>1192.7</v>
      </c>
      <c r="V210" s="8">
        <v>10473.6</v>
      </c>
    </row>
    <row r="211" spans="1:22" x14ac:dyDescent="0.15">
      <c r="A211" s="9">
        <v>36130</v>
      </c>
      <c r="B211" s="8">
        <v>4690.1000000000004</v>
      </c>
      <c r="C211" s="8">
        <v>2323.1999999999998</v>
      </c>
      <c r="D211" s="8">
        <v>1348.5</v>
      </c>
      <c r="E211" s="8">
        <v>1975.7</v>
      </c>
      <c r="F211" s="8">
        <v>2189.6999999999998</v>
      </c>
      <c r="G211" s="8">
        <v>1310.2</v>
      </c>
      <c r="H211" s="8">
        <v>13837.5</v>
      </c>
      <c r="I211" s="8">
        <v>4024.9</v>
      </c>
      <c r="J211" s="8">
        <v>1738.9</v>
      </c>
      <c r="K211" s="8">
        <v>898.5</v>
      </c>
      <c r="L211" s="8">
        <v>1013.6</v>
      </c>
      <c r="M211" s="8">
        <v>1522.8</v>
      </c>
      <c r="N211" s="8">
        <v>1173.3</v>
      </c>
      <c r="O211" s="8">
        <v>10371.9</v>
      </c>
      <c r="P211" s="8">
        <v>4087.3</v>
      </c>
      <c r="Q211" s="8">
        <v>1756</v>
      </c>
      <c r="R211" s="8">
        <v>906.1</v>
      </c>
      <c r="S211" s="8">
        <v>1041.2</v>
      </c>
      <c r="T211" s="8">
        <v>1555.6</v>
      </c>
      <c r="U211" s="8">
        <v>1201.7</v>
      </c>
      <c r="V211" s="8">
        <v>10545.7</v>
      </c>
    </row>
    <row r="212" spans="1:22" x14ac:dyDescent="0.15">
      <c r="A212" s="9">
        <v>36161</v>
      </c>
      <c r="B212" s="8">
        <v>4218.6000000000004</v>
      </c>
      <c r="C212" s="8">
        <v>1775.4</v>
      </c>
      <c r="D212" s="8">
        <v>866.6</v>
      </c>
      <c r="E212" s="8">
        <v>942</v>
      </c>
      <c r="F212" s="8">
        <v>1490.5</v>
      </c>
      <c r="G212" s="8">
        <v>1244</v>
      </c>
      <c r="H212" s="8">
        <v>10537.1</v>
      </c>
      <c r="I212" s="8">
        <v>4164.8999999999996</v>
      </c>
      <c r="J212" s="8">
        <v>1798.2</v>
      </c>
      <c r="K212" s="8">
        <v>906.5</v>
      </c>
      <c r="L212" s="8">
        <v>1092.9000000000001</v>
      </c>
      <c r="M212" s="8">
        <v>1583.3</v>
      </c>
      <c r="N212" s="8">
        <v>1222.5999999999999</v>
      </c>
      <c r="O212" s="8">
        <v>10768.5</v>
      </c>
      <c r="P212" s="8">
        <v>4118.8999999999996</v>
      </c>
      <c r="Q212" s="8">
        <v>1778.4</v>
      </c>
      <c r="R212" s="8">
        <v>911</v>
      </c>
      <c r="S212" s="8">
        <v>1045.9000000000001</v>
      </c>
      <c r="T212" s="8">
        <v>1569.1</v>
      </c>
      <c r="U212" s="8">
        <v>1213.9000000000001</v>
      </c>
      <c r="V212" s="8">
        <v>10630.7</v>
      </c>
    </row>
    <row r="213" spans="1:22" x14ac:dyDescent="0.15">
      <c r="A213" s="9">
        <v>36192</v>
      </c>
      <c r="B213" s="8">
        <v>3844.3</v>
      </c>
      <c r="C213" s="8">
        <v>1597.2</v>
      </c>
      <c r="D213" s="8">
        <v>736.7</v>
      </c>
      <c r="E213" s="8">
        <v>738.4</v>
      </c>
      <c r="F213" s="8">
        <v>1389.2</v>
      </c>
      <c r="G213" s="8">
        <v>1124.4000000000001</v>
      </c>
      <c r="H213" s="8">
        <v>9430.1</v>
      </c>
      <c r="I213" s="8">
        <v>4147.3</v>
      </c>
      <c r="J213" s="8">
        <v>1805</v>
      </c>
      <c r="K213" s="8">
        <v>916.5</v>
      </c>
      <c r="L213" s="8">
        <v>1036</v>
      </c>
      <c r="M213" s="8">
        <v>1583.9</v>
      </c>
      <c r="N213" s="8">
        <v>1229.7</v>
      </c>
      <c r="O213" s="8">
        <v>10718.2</v>
      </c>
      <c r="P213" s="8">
        <v>4143.8</v>
      </c>
      <c r="Q213" s="8">
        <v>1803.7</v>
      </c>
      <c r="R213" s="8">
        <v>923.8</v>
      </c>
      <c r="S213" s="8">
        <v>1047.5</v>
      </c>
      <c r="T213" s="8">
        <v>1582.4</v>
      </c>
      <c r="U213" s="8">
        <v>1229</v>
      </c>
      <c r="V213" s="8">
        <v>10716</v>
      </c>
    </row>
    <row r="214" spans="1:22" x14ac:dyDescent="0.15">
      <c r="A214" s="9">
        <v>36220</v>
      </c>
      <c r="B214" s="8">
        <v>4250.8999999999996</v>
      </c>
      <c r="C214" s="8">
        <v>1733.6</v>
      </c>
      <c r="D214" s="8">
        <v>864.4</v>
      </c>
      <c r="E214" s="8">
        <v>903.2</v>
      </c>
      <c r="F214" s="8">
        <v>1542.5</v>
      </c>
      <c r="G214" s="8">
        <v>1245.4000000000001</v>
      </c>
      <c r="H214" s="8">
        <v>10540</v>
      </c>
      <c r="I214" s="8">
        <v>4191.3</v>
      </c>
      <c r="J214" s="8">
        <v>1780.7</v>
      </c>
      <c r="K214" s="8">
        <v>940.2</v>
      </c>
      <c r="L214" s="8">
        <v>1054.4000000000001</v>
      </c>
      <c r="M214" s="8">
        <v>1598.6</v>
      </c>
      <c r="N214" s="8">
        <v>1234.9000000000001</v>
      </c>
      <c r="O214" s="8">
        <v>10800.1</v>
      </c>
      <c r="P214" s="8">
        <v>4165.1000000000004</v>
      </c>
      <c r="Q214" s="8">
        <v>1820.9</v>
      </c>
      <c r="R214" s="8">
        <v>933.8</v>
      </c>
      <c r="S214" s="8">
        <v>1044</v>
      </c>
      <c r="T214" s="8">
        <v>1595.4</v>
      </c>
      <c r="U214" s="8">
        <v>1243.4000000000001</v>
      </c>
      <c r="V214" s="8">
        <v>10787.6</v>
      </c>
    </row>
    <row r="215" spans="1:22" x14ac:dyDescent="0.15">
      <c r="A215" s="9">
        <v>36251</v>
      </c>
      <c r="B215" s="8">
        <v>4091.1</v>
      </c>
      <c r="C215" s="8">
        <v>1681</v>
      </c>
      <c r="D215" s="8">
        <v>930.6</v>
      </c>
      <c r="E215" s="8">
        <v>953.2</v>
      </c>
      <c r="F215" s="8">
        <v>1498.9</v>
      </c>
      <c r="G215" s="8">
        <v>1236</v>
      </c>
      <c r="H215" s="8">
        <v>10390.700000000001</v>
      </c>
      <c r="I215" s="8">
        <v>4162</v>
      </c>
      <c r="J215" s="8">
        <v>1844.5</v>
      </c>
      <c r="K215" s="8">
        <v>966.6</v>
      </c>
      <c r="L215" s="8">
        <v>1025</v>
      </c>
      <c r="M215" s="8">
        <v>1618.1</v>
      </c>
      <c r="N215" s="8">
        <v>1253.8</v>
      </c>
      <c r="O215" s="8">
        <v>10870</v>
      </c>
      <c r="P215" s="8">
        <v>4181.2</v>
      </c>
      <c r="Q215" s="8">
        <v>1835.2</v>
      </c>
      <c r="R215" s="8">
        <v>941.1</v>
      </c>
      <c r="S215" s="8">
        <v>1039.8</v>
      </c>
      <c r="T215" s="8">
        <v>1605</v>
      </c>
      <c r="U215" s="8">
        <v>1253.9000000000001</v>
      </c>
      <c r="V215" s="8">
        <v>10843.9</v>
      </c>
    </row>
    <row r="216" spans="1:22" x14ac:dyDescent="0.15">
      <c r="A216" s="9">
        <v>36281</v>
      </c>
      <c r="B216" s="8">
        <v>4079</v>
      </c>
      <c r="C216" s="8">
        <v>1764.5</v>
      </c>
      <c r="D216" s="8">
        <v>937</v>
      </c>
      <c r="E216" s="8">
        <v>1011.2</v>
      </c>
      <c r="F216" s="8">
        <v>1517.9</v>
      </c>
      <c r="G216" s="8">
        <v>1271.4000000000001</v>
      </c>
      <c r="H216" s="8">
        <v>10581</v>
      </c>
      <c r="I216" s="8">
        <v>4187.8999999999996</v>
      </c>
      <c r="J216" s="8">
        <v>1843.3</v>
      </c>
      <c r="K216" s="8">
        <v>928.8</v>
      </c>
      <c r="L216" s="8">
        <v>1042.7</v>
      </c>
      <c r="M216" s="8">
        <v>1606</v>
      </c>
      <c r="N216" s="8">
        <v>1289.3</v>
      </c>
      <c r="O216" s="8">
        <v>10898</v>
      </c>
      <c r="P216" s="8">
        <v>4194.5</v>
      </c>
      <c r="Q216" s="8">
        <v>1844.8</v>
      </c>
      <c r="R216" s="8">
        <v>946.5</v>
      </c>
      <c r="S216" s="8">
        <v>1038.5</v>
      </c>
      <c r="T216" s="8">
        <v>1614.3</v>
      </c>
      <c r="U216" s="8">
        <v>1258.4000000000001</v>
      </c>
      <c r="V216" s="8">
        <v>10888.9</v>
      </c>
    </row>
    <row r="217" spans="1:22" x14ac:dyDescent="0.15">
      <c r="A217" s="9">
        <v>36312</v>
      </c>
      <c r="B217" s="8">
        <v>3961.9</v>
      </c>
      <c r="C217" s="8">
        <v>1779</v>
      </c>
      <c r="D217" s="8">
        <v>915.5</v>
      </c>
      <c r="E217" s="8">
        <v>894.4</v>
      </c>
      <c r="F217" s="8">
        <v>1505.8</v>
      </c>
      <c r="G217" s="8">
        <v>1208</v>
      </c>
      <c r="H217" s="8">
        <v>10264.799999999999</v>
      </c>
      <c r="I217" s="8">
        <v>4200.8999999999996</v>
      </c>
      <c r="J217" s="8">
        <v>1836.3</v>
      </c>
      <c r="K217" s="8">
        <v>957.9</v>
      </c>
      <c r="L217" s="8">
        <v>1019.7</v>
      </c>
      <c r="M217" s="8">
        <v>1615.7</v>
      </c>
      <c r="N217" s="8">
        <v>1277.2</v>
      </c>
      <c r="O217" s="8">
        <v>10907.7</v>
      </c>
      <c r="P217" s="8">
        <v>4206.8999999999996</v>
      </c>
      <c r="Q217" s="8">
        <v>1856</v>
      </c>
      <c r="R217" s="8">
        <v>953.9</v>
      </c>
      <c r="S217" s="8">
        <v>1042.3</v>
      </c>
      <c r="T217" s="8">
        <v>1621.6</v>
      </c>
      <c r="U217" s="8">
        <v>1258.2</v>
      </c>
      <c r="V217" s="8">
        <v>10934.5</v>
      </c>
    </row>
    <row r="218" spans="1:22" x14ac:dyDescent="0.15">
      <c r="A218" s="9">
        <v>36342</v>
      </c>
      <c r="B218" s="8">
        <v>4239.3999999999996</v>
      </c>
      <c r="C218" s="8">
        <v>1817.4</v>
      </c>
      <c r="D218" s="8">
        <v>913.3</v>
      </c>
      <c r="E218" s="8">
        <v>1054.5</v>
      </c>
      <c r="F218" s="8">
        <v>1581</v>
      </c>
      <c r="G218" s="8">
        <v>1219.2</v>
      </c>
      <c r="H218" s="8">
        <v>10824.9</v>
      </c>
      <c r="I218" s="8">
        <v>4217.6000000000004</v>
      </c>
      <c r="J218" s="8">
        <v>1849.2</v>
      </c>
      <c r="K218" s="8">
        <v>934.3</v>
      </c>
      <c r="L218" s="8">
        <v>1054.9000000000001</v>
      </c>
      <c r="M218" s="8">
        <v>1621.8</v>
      </c>
      <c r="N218" s="8">
        <v>1212.3</v>
      </c>
      <c r="O218" s="8">
        <v>10890.1</v>
      </c>
      <c r="P218" s="8">
        <v>4221.8999999999996</v>
      </c>
      <c r="Q218" s="8">
        <v>1876.9</v>
      </c>
      <c r="R218" s="8">
        <v>955.5</v>
      </c>
      <c r="S218" s="8">
        <v>1050.7</v>
      </c>
      <c r="T218" s="8">
        <v>1629.4</v>
      </c>
      <c r="U218" s="8">
        <v>1257.9000000000001</v>
      </c>
      <c r="V218" s="8">
        <v>10993.9</v>
      </c>
    </row>
    <row r="219" spans="1:22" x14ac:dyDescent="0.15">
      <c r="A219" s="9">
        <v>36373</v>
      </c>
      <c r="B219" s="8">
        <v>4117.8</v>
      </c>
      <c r="C219" s="8">
        <v>1830.7</v>
      </c>
      <c r="D219" s="8">
        <v>888.6</v>
      </c>
      <c r="E219" s="8">
        <v>899.5</v>
      </c>
      <c r="F219" s="8">
        <v>1585.1</v>
      </c>
      <c r="G219" s="8">
        <v>1233.5999999999999</v>
      </c>
      <c r="H219" s="8">
        <v>10555.3</v>
      </c>
      <c r="I219" s="8">
        <v>4253.3999999999996</v>
      </c>
      <c r="J219" s="8">
        <v>1898.3</v>
      </c>
      <c r="K219" s="8">
        <v>979.7</v>
      </c>
      <c r="L219" s="8">
        <v>1074.2</v>
      </c>
      <c r="M219" s="8">
        <v>1637.2</v>
      </c>
      <c r="N219" s="8">
        <v>1250.7</v>
      </c>
      <c r="O219" s="8">
        <v>11093.5</v>
      </c>
      <c r="P219" s="8">
        <v>4242.8999999999996</v>
      </c>
      <c r="Q219" s="8">
        <v>1892.9</v>
      </c>
      <c r="R219" s="8">
        <v>962.5</v>
      </c>
      <c r="S219" s="8">
        <v>1060.8</v>
      </c>
      <c r="T219" s="8">
        <v>1634.6</v>
      </c>
      <c r="U219" s="8">
        <v>1261</v>
      </c>
      <c r="V219" s="8">
        <v>11066</v>
      </c>
    </row>
    <row r="220" spans="1:22" x14ac:dyDescent="0.15">
      <c r="A220" s="9">
        <v>36404</v>
      </c>
      <c r="B220" s="8">
        <v>4184</v>
      </c>
      <c r="C220" s="8">
        <v>1894.3</v>
      </c>
      <c r="D220" s="8">
        <v>939.6</v>
      </c>
      <c r="E220" s="8">
        <v>1002.3</v>
      </c>
      <c r="F220" s="8">
        <v>1627.4</v>
      </c>
      <c r="G220" s="8">
        <v>1261.3</v>
      </c>
      <c r="H220" s="8">
        <v>10908.9</v>
      </c>
      <c r="I220" s="8">
        <v>4264.2</v>
      </c>
      <c r="J220" s="8">
        <v>1946.8</v>
      </c>
      <c r="K220" s="8">
        <v>973.4</v>
      </c>
      <c r="L220" s="8">
        <v>1072.0999999999999</v>
      </c>
      <c r="M220" s="8">
        <v>1661.7</v>
      </c>
      <c r="N220" s="8">
        <v>1276.5999999999999</v>
      </c>
      <c r="O220" s="8">
        <v>11194.9</v>
      </c>
      <c r="P220" s="8">
        <v>4263</v>
      </c>
      <c r="Q220" s="8">
        <v>1915.7</v>
      </c>
      <c r="R220" s="8">
        <v>969.1</v>
      </c>
      <c r="S220" s="8">
        <v>1069</v>
      </c>
      <c r="T220" s="8">
        <v>1638.5</v>
      </c>
      <c r="U220" s="8">
        <v>1267.2</v>
      </c>
      <c r="V220" s="8">
        <v>11131.3</v>
      </c>
    </row>
    <row r="221" spans="1:22" x14ac:dyDescent="0.15">
      <c r="A221" s="9">
        <v>36434</v>
      </c>
      <c r="B221" s="8">
        <v>4373.6000000000004</v>
      </c>
      <c r="C221" s="8">
        <v>2000.7</v>
      </c>
      <c r="D221" s="8">
        <v>982.2</v>
      </c>
      <c r="E221" s="8">
        <v>1043.7</v>
      </c>
      <c r="F221" s="8">
        <v>1622.2</v>
      </c>
      <c r="G221" s="8">
        <v>1314.4</v>
      </c>
      <c r="H221" s="8">
        <v>11336.8</v>
      </c>
      <c r="I221" s="8">
        <v>4271.3</v>
      </c>
      <c r="J221" s="8">
        <v>1950.3</v>
      </c>
      <c r="K221" s="8">
        <v>970.5</v>
      </c>
      <c r="L221" s="8">
        <v>1075.5</v>
      </c>
      <c r="M221" s="8">
        <v>1624.5</v>
      </c>
      <c r="N221" s="8">
        <v>1274.5999999999999</v>
      </c>
      <c r="O221" s="8">
        <v>11166.7</v>
      </c>
      <c r="P221" s="8">
        <v>4283</v>
      </c>
      <c r="Q221" s="8">
        <v>1933.7</v>
      </c>
      <c r="R221" s="8">
        <v>975.7</v>
      </c>
      <c r="S221" s="8">
        <v>1073.5999999999999</v>
      </c>
      <c r="T221" s="8">
        <v>1640.9</v>
      </c>
      <c r="U221" s="8">
        <v>1276.3</v>
      </c>
      <c r="V221" s="8">
        <v>11178.5</v>
      </c>
    </row>
    <row r="222" spans="1:22" x14ac:dyDescent="0.15">
      <c r="A222" s="9">
        <v>36465</v>
      </c>
      <c r="B222" s="8">
        <v>4273</v>
      </c>
      <c r="C222" s="8">
        <v>2037</v>
      </c>
      <c r="D222" s="8">
        <v>1022.2</v>
      </c>
      <c r="E222" s="8">
        <v>1207.2</v>
      </c>
      <c r="F222" s="8">
        <v>1726.2</v>
      </c>
      <c r="G222" s="8">
        <v>1318.3</v>
      </c>
      <c r="H222" s="8">
        <v>11584</v>
      </c>
      <c r="I222" s="8">
        <v>4302</v>
      </c>
      <c r="J222" s="8">
        <v>1933.7</v>
      </c>
      <c r="K222" s="8">
        <v>981.8</v>
      </c>
      <c r="L222" s="8">
        <v>1072</v>
      </c>
      <c r="M222" s="8">
        <v>1650.1</v>
      </c>
      <c r="N222" s="8">
        <v>1309</v>
      </c>
      <c r="O222" s="8">
        <v>11248.7</v>
      </c>
      <c r="P222" s="8">
        <v>4299.2</v>
      </c>
      <c r="Q222" s="8">
        <v>1944.1</v>
      </c>
      <c r="R222" s="8">
        <v>977.5</v>
      </c>
      <c r="S222" s="8">
        <v>1074.0999999999999</v>
      </c>
      <c r="T222" s="8">
        <v>1642.1</v>
      </c>
      <c r="U222" s="8">
        <v>1285.7</v>
      </c>
      <c r="V222" s="8">
        <v>11197</v>
      </c>
    </row>
    <row r="223" spans="1:22" x14ac:dyDescent="0.15">
      <c r="A223" s="9">
        <v>36495</v>
      </c>
      <c r="B223" s="8">
        <v>5099.8</v>
      </c>
      <c r="C223" s="8">
        <v>2568.3000000000002</v>
      </c>
      <c r="D223" s="8">
        <v>1471.2</v>
      </c>
      <c r="E223" s="8">
        <v>2069.6</v>
      </c>
      <c r="F223" s="8">
        <v>2352.6999999999998</v>
      </c>
      <c r="G223" s="8">
        <v>1455.3</v>
      </c>
      <c r="H223" s="8">
        <v>15016.9</v>
      </c>
      <c r="I223" s="8">
        <v>4324.6000000000004</v>
      </c>
      <c r="J223" s="8">
        <v>1916.4</v>
      </c>
      <c r="K223" s="8">
        <v>971.2</v>
      </c>
      <c r="L223" s="8">
        <v>1070.9000000000001</v>
      </c>
      <c r="M223" s="8">
        <v>1633.4</v>
      </c>
      <c r="N223" s="8">
        <v>1284.5999999999999</v>
      </c>
      <c r="O223" s="8">
        <v>11201.2</v>
      </c>
      <c r="P223" s="8">
        <v>4309.6000000000004</v>
      </c>
      <c r="Q223" s="8">
        <v>1949.1</v>
      </c>
      <c r="R223" s="8">
        <v>980.9</v>
      </c>
      <c r="S223" s="8">
        <v>1072.5</v>
      </c>
      <c r="T223" s="8">
        <v>1641.8</v>
      </c>
      <c r="U223" s="8">
        <v>1291.5</v>
      </c>
      <c r="V223" s="8">
        <v>11188.2</v>
      </c>
    </row>
    <row r="224" spans="1:22" x14ac:dyDescent="0.15">
      <c r="A224" s="9">
        <v>36526</v>
      </c>
      <c r="B224" s="8">
        <v>4247.2</v>
      </c>
      <c r="C224" s="8">
        <v>1924.7</v>
      </c>
      <c r="D224" s="8">
        <v>903.4</v>
      </c>
      <c r="E224" s="8">
        <v>924.9</v>
      </c>
      <c r="F224" s="8">
        <v>1496.6</v>
      </c>
      <c r="G224" s="8">
        <v>1297.4000000000001</v>
      </c>
      <c r="H224" s="8">
        <v>10794.2</v>
      </c>
      <c r="I224" s="8">
        <v>4251.8</v>
      </c>
      <c r="J224" s="8">
        <v>1966.5</v>
      </c>
      <c r="K224" s="8">
        <v>955.5</v>
      </c>
      <c r="L224" s="8">
        <v>1070.5</v>
      </c>
      <c r="M224" s="8">
        <v>1607.4</v>
      </c>
      <c r="N224" s="8">
        <v>1290.8</v>
      </c>
      <c r="O224" s="8">
        <v>11142.5</v>
      </c>
      <c r="P224" s="8">
        <v>4250.2</v>
      </c>
      <c r="Q224" s="8">
        <v>1957.8</v>
      </c>
      <c r="R224" s="8">
        <v>944.2</v>
      </c>
      <c r="S224" s="8">
        <v>1071.5</v>
      </c>
      <c r="T224" s="8">
        <v>1605.8</v>
      </c>
      <c r="U224" s="8">
        <v>1293</v>
      </c>
      <c r="V224" s="8">
        <v>11167.4</v>
      </c>
    </row>
    <row r="225" spans="1:22" x14ac:dyDescent="0.15">
      <c r="A225" s="9">
        <v>36557</v>
      </c>
      <c r="B225" s="8">
        <v>4069.7</v>
      </c>
      <c r="C225" s="8">
        <v>1813.6</v>
      </c>
      <c r="D225" s="8">
        <v>764.5</v>
      </c>
      <c r="E225" s="8">
        <v>798.2</v>
      </c>
      <c r="F225" s="8">
        <v>1462.1</v>
      </c>
      <c r="G225" s="8">
        <v>1206.7</v>
      </c>
      <c r="H225" s="8">
        <v>10114.799999999999</v>
      </c>
      <c r="I225" s="8">
        <v>4252.8999999999996</v>
      </c>
      <c r="J225" s="8">
        <v>1977.1</v>
      </c>
      <c r="K225" s="8">
        <v>917.3</v>
      </c>
      <c r="L225" s="8">
        <v>1081</v>
      </c>
      <c r="M225" s="8">
        <v>1607.7</v>
      </c>
      <c r="N225" s="8">
        <v>1282.2</v>
      </c>
      <c r="O225" s="8">
        <v>11118.2</v>
      </c>
      <c r="P225" s="8">
        <v>4254</v>
      </c>
      <c r="Q225" s="8">
        <v>1961.7</v>
      </c>
      <c r="R225" s="8">
        <v>949.2</v>
      </c>
      <c r="S225" s="8">
        <v>1072.3</v>
      </c>
      <c r="T225" s="8">
        <v>1609.4</v>
      </c>
      <c r="U225" s="8">
        <v>1292.5</v>
      </c>
      <c r="V225" s="8">
        <v>11154.6</v>
      </c>
    </row>
    <row r="226" spans="1:22" x14ac:dyDescent="0.15">
      <c r="A226" s="9">
        <v>36586</v>
      </c>
      <c r="B226" s="8">
        <v>4353.3999999999996</v>
      </c>
      <c r="C226" s="8">
        <v>1919.9</v>
      </c>
      <c r="D226" s="8">
        <v>877.4</v>
      </c>
      <c r="E226" s="8">
        <v>901.9</v>
      </c>
      <c r="F226" s="8">
        <v>1553</v>
      </c>
      <c r="G226" s="8">
        <v>1324.6</v>
      </c>
      <c r="H226" s="8">
        <v>10930.1</v>
      </c>
      <c r="I226" s="8">
        <v>4249.3</v>
      </c>
      <c r="J226" s="8">
        <v>1986.9</v>
      </c>
      <c r="K226" s="8">
        <v>944.4</v>
      </c>
      <c r="L226" s="8">
        <v>1054.8</v>
      </c>
      <c r="M226" s="8">
        <v>1613.8</v>
      </c>
      <c r="N226" s="8">
        <v>1306.9000000000001</v>
      </c>
      <c r="O226" s="8">
        <v>11156.1</v>
      </c>
      <c r="P226" s="8">
        <v>4259.2</v>
      </c>
      <c r="Q226" s="8">
        <v>1972.7</v>
      </c>
      <c r="R226" s="8">
        <v>953.8</v>
      </c>
      <c r="S226" s="8">
        <v>1075.5999999999999</v>
      </c>
      <c r="T226" s="8">
        <v>1616.1</v>
      </c>
      <c r="U226" s="8">
        <v>1293</v>
      </c>
      <c r="V226" s="8">
        <v>11163.2</v>
      </c>
    </row>
    <row r="227" spans="1:22" x14ac:dyDescent="0.15">
      <c r="A227" s="9">
        <v>36617</v>
      </c>
      <c r="B227" s="8">
        <v>4174.3999999999996</v>
      </c>
      <c r="C227" s="8">
        <v>1769.8</v>
      </c>
      <c r="D227" s="8">
        <v>905.7</v>
      </c>
      <c r="E227" s="8">
        <v>1024.7</v>
      </c>
      <c r="F227" s="8">
        <v>1482.8</v>
      </c>
      <c r="G227" s="8">
        <v>1252.5</v>
      </c>
      <c r="H227" s="8">
        <v>10609.9</v>
      </c>
      <c r="I227" s="8">
        <v>4260.3999999999996</v>
      </c>
      <c r="J227" s="8">
        <v>1956.7</v>
      </c>
      <c r="K227" s="8">
        <v>951.6</v>
      </c>
      <c r="L227" s="8">
        <v>1091.7</v>
      </c>
      <c r="M227" s="8">
        <v>1622.4</v>
      </c>
      <c r="N227" s="8">
        <v>1280.9000000000001</v>
      </c>
      <c r="O227" s="8">
        <v>11163.7</v>
      </c>
      <c r="P227" s="8">
        <v>4264.1000000000004</v>
      </c>
      <c r="Q227" s="8">
        <v>1982.9</v>
      </c>
      <c r="R227" s="8">
        <v>958.3</v>
      </c>
      <c r="S227" s="8">
        <v>1082.5</v>
      </c>
      <c r="T227" s="8">
        <v>1623.6</v>
      </c>
      <c r="U227" s="8">
        <v>1293</v>
      </c>
      <c r="V227" s="8">
        <v>11194.1</v>
      </c>
    </row>
    <row r="228" spans="1:22" x14ac:dyDescent="0.15">
      <c r="A228" s="9">
        <v>36647</v>
      </c>
      <c r="B228" s="8">
        <v>4161.7</v>
      </c>
      <c r="C228" s="8">
        <v>1985.7</v>
      </c>
      <c r="D228" s="8">
        <v>995.2</v>
      </c>
      <c r="E228" s="8">
        <v>1052.3</v>
      </c>
      <c r="F228" s="8">
        <v>1575.8</v>
      </c>
      <c r="G228" s="8">
        <v>1282.0999999999999</v>
      </c>
      <c r="H228" s="8">
        <v>11052.7</v>
      </c>
      <c r="I228" s="8">
        <v>4261.3</v>
      </c>
      <c r="J228" s="8">
        <v>2058.5</v>
      </c>
      <c r="K228" s="8">
        <v>977.9</v>
      </c>
      <c r="L228" s="8">
        <v>1096.7</v>
      </c>
      <c r="M228" s="8">
        <v>1637.3</v>
      </c>
      <c r="N228" s="8">
        <v>1296.7</v>
      </c>
      <c r="O228" s="8">
        <v>11328.4</v>
      </c>
      <c r="P228" s="8">
        <v>4272.6000000000004</v>
      </c>
      <c r="Q228" s="8">
        <v>1993.5</v>
      </c>
      <c r="R228" s="8">
        <v>961.2</v>
      </c>
      <c r="S228" s="8">
        <v>1093.4000000000001</v>
      </c>
      <c r="T228" s="8">
        <v>1630.7</v>
      </c>
      <c r="U228" s="8">
        <v>1293.5</v>
      </c>
      <c r="V228" s="8">
        <v>11244.3</v>
      </c>
    </row>
    <row r="229" spans="1:22" x14ac:dyDescent="0.15">
      <c r="A229" s="9">
        <v>36678</v>
      </c>
      <c r="B229" s="8">
        <v>4175.1000000000004</v>
      </c>
      <c r="C229" s="8">
        <v>2346.3000000000002</v>
      </c>
      <c r="D229" s="8">
        <v>1103.9000000000001</v>
      </c>
      <c r="E229" s="8">
        <v>1165.5</v>
      </c>
      <c r="F229" s="8">
        <v>1609.6</v>
      </c>
      <c r="G229" s="8">
        <v>1274.7</v>
      </c>
      <c r="H229" s="8">
        <v>11675.2</v>
      </c>
      <c r="I229" s="8">
        <v>4346.8</v>
      </c>
      <c r="J229" s="8">
        <v>2393.9</v>
      </c>
      <c r="K229" s="8">
        <v>1147.2</v>
      </c>
      <c r="L229" s="8">
        <v>1311.6</v>
      </c>
      <c r="M229" s="8">
        <v>1716.7</v>
      </c>
      <c r="N229" s="8">
        <v>1325.4</v>
      </c>
      <c r="O229" s="8">
        <v>12241.6</v>
      </c>
      <c r="P229" s="8">
        <v>4280.8</v>
      </c>
      <c r="Q229" s="8">
        <v>2004.3</v>
      </c>
      <c r="R229" s="8">
        <v>964.4</v>
      </c>
      <c r="S229" s="8">
        <v>1104.8</v>
      </c>
      <c r="T229" s="8">
        <v>1639.3</v>
      </c>
      <c r="U229" s="8">
        <v>1297.0999999999999</v>
      </c>
      <c r="V229" s="8">
        <v>11304</v>
      </c>
    </row>
    <row r="230" spans="1:22" x14ac:dyDescent="0.15">
      <c r="A230" s="9">
        <v>36708</v>
      </c>
      <c r="B230" s="8">
        <v>4221.2</v>
      </c>
      <c r="C230" s="8">
        <v>1875.7</v>
      </c>
      <c r="D230" s="8">
        <v>808.6</v>
      </c>
      <c r="E230" s="8">
        <v>859.3</v>
      </c>
      <c r="F230" s="8">
        <v>1522.5</v>
      </c>
      <c r="G230" s="8">
        <v>1317.9</v>
      </c>
      <c r="H230" s="8">
        <v>10605.2</v>
      </c>
      <c r="I230" s="8">
        <v>4334.3999999999996</v>
      </c>
      <c r="J230" s="8">
        <v>1946.5</v>
      </c>
      <c r="K230" s="8">
        <v>853</v>
      </c>
      <c r="L230" s="8">
        <v>885.3</v>
      </c>
      <c r="M230" s="8">
        <v>1596.7</v>
      </c>
      <c r="N230" s="8">
        <v>1327.5</v>
      </c>
      <c r="O230" s="8">
        <v>10943.4</v>
      </c>
      <c r="P230" s="8">
        <v>4372.3999999999996</v>
      </c>
      <c r="Q230" s="8">
        <v>2033.9</v>
      </c>
      <c r="R230" s="8">
        <v>948.1</v>
      </c>
      <c r="S230" s="8">
        <v>1119</v>
      </c>
      <c r="T230" s="8">
        <v>1667.9</v>
      </c>
      <c r="U230" s="8">
        <v>1342.9</v>
      </c>
      <c r="V230" s="8">
        <v>11455.8</v>
      </c>
    </row>
    <row r="231" spans="1:22" x14ac:dyDescent="0.15">
      <c r="A231" s="9">
        <v>36739</v>
      </c>
      <c r="B231" s="8">
        <v>4362.8999999999996</v>
      </c>
      <c r="C231" s="8">
        <v>2013.1</v>
      </c>
      <c r="D231" s="8">
        <v>853</v>
      </c>
      <c r="E231" s="8">
        <v>1009.2</v>
      </c>
      <c r="F231" s="8">
        <v>1623.6</v>
      </c>
      <c r="G231" s="8">
        <v>1328.8</v>
      </c>
      <c r="H231" s="8">
        <v>11190.6</v>
      </c>
      <c r="I231" s="8">
        <v>4390</v>
      </c>
      <c r="J231" s="8">
        <v>2062.5</v>
      </c>
      <c r="K231" s="8">
        <v>925</v>
      </c>
      <c r="L231" s="8">
        <v>1160.4000000000001</v>
      </c>
      <c r="M231" s="8">
        <v>1644.8</v>
      </c>
      <c r="N231" s="8">
        <v>1336.2</v>
      </c>
      <c r="O231" s="8">
        <v>11518.8</v>
      </c>
      <c r="P231" s="8">
        <v>4376.3999999999996</v>
      </c>
      <c r="Q231" s="8">
        <v>2047.3</v>
      </c>
      <c r="R231" s="8">
        <v>950.7</v>
      </c>
      <c r="S231" s="8">
        <v>1123.0999999999999</v>
      </c>
      <c r="T231" s="8">
        <v>1673.9</v>
      </c>
      <c r="U231" s="8">
        <v>1352.3</v>
      </c>
      <c r="V231" s="8">
        <v>11506.9</v>
      </c>
    </row>
    <row r="232" spans="1:22" x14ac:dyDescent="0.15">
      <c r="A232" s="9">
        <v>36770</v>
      </c>
      <c r="B232" s="8">
        <v>4315.6000000000004</v>
      </c>
      <c r="C232" s="8">
        <v>2015.7</v>
      </c>
      <c r="D232" s="8">
        <v>986.4</v>
      </c>
      <c r="E232" s="8">
        <v>1054.5999999999999</v>
      </c>
      <c r="F232" s="8">
        <v>1642.7</v>
      </c>
      <c r="G232" s="8">
        <v>1432.4</v>
      </c>
      <c r="H232" s="8">
        <v>11447.4</v>
      </c>
      <c r="I232" s="8">
        <v>4388.1000000000004</v>
      </c>
      <c r="J232" s="8">
        <v>2063.5</v>
      </c>
      <c r="K232" s="8">
        <v>1018.6</v>
      </c>
      <c r="L232" s="8">
        <v>1133.8</v>
      </c>
      <c r="M232" s="8">
        <v>1684.6</v>
      </c>
      <c r="N232" s="8">
        <v>1447.5</v>
      </c>
      <c r="O232" s="8">
        <v>11736.2</v>
      </c>
      <c r="P232" s="8">
        <v>4381.8999999999996</v>
      </c>
      <c r="Q232" s="8">
        <v>2059.1</v>
      </c>
      <c r="R232" s="8">
        <v>955.2</v>
      </c>
      <c r="S232" s="8">
        <v>1122.7</v>
      </c>
      <c r="T232" s="8">
        <v>1678.7</v>
      </c>
      <c r="U232" s="8">
        <v>1365</v>
      </c>
      <c r="V232" s="8">
        <v>11557.1</v>
      </c>
    </row>
    <row r="233" spans="1:22" x14ac:dyDescent="0.15">
      <c r="A233" s="9">
        <v>36800</v>
      </c>
      <c r="B233" s="8">
        <v>4384.7</v>
      </c>
      <c r="C233" s="8">
        <v>2098.1999999999998</v>
      </c>
      <c r="D233" s="8">
        <v>957.7</v>
      </c>
      <c r="E233" s="8">
        <v>1070.4000000000001</v>
      </c>
      <c r="F233" s="8">
        <v>1692.6</v>
      </c>
      <c r="G233" s="8">
        <v>1460.8</v>
      </c>
      <c r="H233" s="8">
        <v>11664.4</v>
      </c>
      <c r="I233" s="8">
        <v>4378.8999999999996</v>
      </c>
      <c r="J233" s="8">
        <v>2051.8000000000002</v>
      </c>
      <c r="K233" s="8">
        <v>953.6</v>
      </c>
      <c r="L233" s="8">
        <v>1116.3</v>
      </c>
      <c r="M233" s="8">
        <v>1699.9</v>
      </c>
      <c r="N233" s="8">
        <v>1426.6</v>
      </c>
      <c r="O233" s="8">
        <v>11627</v>
      </c>
      <c r="P233" s="8">
        <v>4395.6000000000004</v>
      </c>
      <c r="Q233" s="8">
        <v>2072.5</v>
      </c>
      <c r="R233" s="8">
        <v>961.2</v>
      </c>
      <c r="S233" s="8">
        <v>1121.0999999999999</v>
      </c>
      <c r="T233" s="8">
        <v>1688.6</v>
      </c>
      <c r="U233" s="8">
        <v>1380.8</v>
      </c>
      <c r="V233" s="8">
        <v>11617.6</v>
      </c>
    </row>
    <row r="234" spans="1:22" x14ac:dyDescent="0.15">
      <c r="A234" s="9">
        <v>36831</v>
      </c>
      <c r="B234" s="8">
        <v>4450.8999999999996</v>
      </c>
      <c r="C234" s="8">
        <v>2213.3000000000002</v>
      </c>
      <c r="D234" s="8">
        <v>1022.4</v>
      </c>
      <c r="E234" s="8">
        <v>1232.5</v>
      </c>
      <c r="F234" s="8">
        <v>1792.5</v>
      </c>
      <c r="G234" s="8">
        <v>1416.3</v>
      </c>
      <c r="H234" s="8">
        <v>12127.8</v>
      </c>
      <c r="I234" s="8">
        <v>4390.6000000000004</v>
      </c>
      <c r="J234" s="8">
        <v>2094.9</v>
      </c>
      <c r="K234" s="8">
        <v>967.9</v>
      </c>
      <c r="L234" s="8">
        <v>1079.0999999999999</v>
      </c>
      <c r="M234" s="8">
        <v>1698.7</v>
      </c>
      <c r="N234" s="8">
        <v>1398.6</v>
      </c>
      <c r="O234" s="8">
        <v>11629.7</v>
      </c>
      <c r="P234" s="8">
        <v>4418.2</v>
      </c>
      <c r="Q234" s="8">
        <v>2084.8000000000002</v>
      </c>
      <c r="R234" s="8">
        <v>972.4</v>
      </c>
      <c r="S234" s="8">
        <v>1121.2</v>
      </c>
      <c r="T234" s="8">
        <v>1701.3</v>
      </c>
      <c r="U234" s="8">
        <v>1402</v>
      </c>
      <c r="V234" s="8">
        <v>11698.3</v>
      </c>
    </row>
    <row r="235" spans="1:22" x14ac:dyDescent="0.15">
      <c r="A235" s="9">
        <v>36861</v>
      </c>
      <c r="B235" s="8">
        <v>5194.1000000000004</v>
      </c>
      <c r="C235" s="8">
        <v>2776</v>
      </c>
      <c r="D235" s="8">
        <v>1499.7</v>
      </c>
      <c r="E235" s="8">
        <v>2177.5</v>
      </c>
      <c r="F235" s="8">
        <v>2381.5</v>
      </c>
      <c r="G235" s="8">
        <v>1538.6</v>
      </c>
      <c r="H235" s="8">
        <v>15567.3</v>
      </c>
      <c r="I235" s="8">
        <v>4480.3999999999996</v>
      </c>
      <c r="J235" s="8">
        <v>2102</v>
      </c>
      <c r="K235" s="8">
        <v>1001.7</v>
      </c>
      <c r="L235" s="8">
        <v>1138.7</v>
      </c>
      <c r="M235" s="8">
        <v>1685</v>
      </c>
      <c r="N235" s="8">
        <v>1375.8</v>
      </c>
      <c r="O235" s="8">
        <v>11783.5</v>
      </c>
      <c r="P235" s="8">
        <v>4452.3999999999996</v>
      </c>
      <c r="Q235" s="8">
        <v>2101.3000000000002</v>
      </c>
      <c r="R235" s="8">
        <v>983.9</v>
      </c>
      <c r="S235" s="8">
        <v>1124.4000000000001</v>
      </c>
      <c r="T235" s="8">
        <v>1718.5</v>
      </c>
      <c r="U235" s="8">
        <v>1425.2</v>
      </c>
      <c r="V235" s="8">
        <v>11801.3</v>
      </c>
    </row>
    <row r="236" spans="1:22" x14ac:dyDescent="0.15">
      <c r="A236" s="9">
        <v>36892</v>
      </c>
      <c r="B236" s="8">
        <v>4486.2</v>
      </c>
      <c r="C236" s="8">
        <v>2095.8000000000002</v>
      </c>
      <c r="D236" s="8">
        <v>945.7</v>
      </c>
      <c r="E236" s="8">
        <v>971.9</v>
      </c>
      <c r="F236" s="8">
        <v>1641.7</v>
      </c>
      <c r="G236" s="8">
        <v>1470.8</v>
      </c>
      <c r="H236" s="8">
        <v>11612.2</v>
      </c>
      <c r="I236" s="8">
        <v>4465.3999999999996</v>
      </c>
      <c r="J236" s="8">
        <v>2113.1999999999998</v>
      </c>
      <c r="K236" s="8">
        <v>988.5</v>
      </c>
      <c r="L236" s="8">
        <v>1132.4000000000001</v>
      </c>
      <c r="M236" s="8">
        <v>1737.9</v>
      </c>
      <c r="N236" s="8">
        <v>1458.7</v>
      </c>
      <c r="O236" s="8">
        <v>11896</v>
      </c>
      <c r="P236" s="8">
        <v>4493.2</v>
      </c>
      <c r="Q236" s="8">
        <v>2116.8000000000002</v>
      </c>
      <c r="R236" s="8">
        <v>992.9</v>
      </c>
      <c r="S236" s="8">
        <v>1130.8</v>
      </c>
      <c r="T236" s="8">
        <v>1735.4</v>
      </c>
      <c r="U236" s="8">
        <v>1444.8</v>
      </c>
      <c r="V236" s="8">
        <v>11918.1</v>
      </c>
    </row>
    <row r="237" spans="1:22" x14ac:dyDescent="0.15">
      <c r="A237" s="9">
        <v>36923</v>
      </c>
      <c r="B237" s="8">
        <v>4221.3</v>
      </c>
      <c r="C237" s="8">
        <v>1887.4</v>
      </c>
      <c r="D237" s="8">
        <v>800.3</v>
      </c>
      <c r="E237" s="8">
        <v>814.6</v>
      </c>
      <c r="F237" s="8">
        <v>1563.5</v>
      </c>
      <c r="G237" s="8">
        <v>1338</v>
      </c>
      <c r="H237" s="8">
        <v>10625.2</v>
      </c>
      <c r="I237" s="8">
        <v>4561.2</v>
      </c>
      <c r="J237" s="8">
        <v>2140.5</v>
      </c>
      <c r="K237" s="8">
        <v>994.3</v>
      </c>
      <c r="L237" s="8">
        <v>1144.2</v>
      </c>
      <c r="M237" s="8">
        <v>1785.7</v>
      </c>
      <c r="N237" s="8">
        <v>1469.9</v>
      </c>
      <c r="O237" s="8">
        <v>12095.8</v>
      </c>
      <c r="P237" s="8">
        <v>4540.1000000000004</v>
      </c>
      <c r="Q237" s="8">
        <v>2134.6</v>
      </c>
      <c r="R237" s="8">
        <v>1000.4</v>
      </c>
      <c r="S237" s="8">
        <v>1139.9000000000001</v>
      </c>
      <c r="T237" s="8">
        <v>1753.9</v>
      </c>
      <c r="U237" s="8">
        <v>1460.7</v>
      </c>
      <c r="V237" s="8">
        <v>12038</v>
      </c>
    </row>
    <row r="238" spans="1:22" x14ac:dyDescent="0.15">
      <c r="A238" s="9">
        <v>36951</v>
      </c>
      <c r="B238" s="8">
        <v>4699.1000000000004</v>
      </c>
      <c r="C238" s="8">
        <v>2063.1999999999998</v>
      </c>
      <c r="D238" s="8">
        <v>945.4</v>
      </c>
      <c r="E238" s="8">
        <v>1017.5</v>
      </c>
      <c r="F238" s="8">
        <v>1694.1</v>
      </c>
      <c r="G238" s="8">
        <v>1521.2</v>
      </c>
      <c r="H238" s="8">
        <v>11940.5</v>
      </c>
      <c r="I238" s="8">
        <v>4572.1000000000004</v>
      </c>
      <c r="J238" s="8">
        <v>2148.4</v>
      </c>
      <c r="K238" s="8">
        <v>1015</v>
      </c>
      <c r="L238" s="8">
        <v>1162.2</v>
      </c>
      <c r="M238" s="8">
        <v>1771.7</v>
      </c>
      <c r="N238" s="8">
        <v>1507</v>
      </c>
      <c r="O238" s="8">
        <v>12176.4</v>
      </c>
      <c r="P238" s="8">
        <v>4580.3</v>
      </c>
      <c r="Q238" s="8">
        <v>2157.6999999999998</v>
      </c>
      <c r="R238" s="8">
        <v>1009.3</v>
      </c>
      <c r="S238" s="8">
        <v>1148.0999999999999</v>
      </c>
      <c r="T238" s="8">
        <v>1770.2</v>
      </c>
      <c r="U238" s="8">
        <v>1471.5</v>
      </c>
      <c r="V238" s="8">
        <v>12149.8</v>
      </c>
    </row>
    <row r="239" spans="1:22" x14ac:dyDescent="0.15">
      <c r="A239" s="9">
        <v>36982</v>
      </c>
      <c r="B239" s="8">
        <v>4497.1000000000004</v>
      </c>
      <c r="C239" s="8">
        <v>1982.7</v>
      </c>
      <c r="D239" s="8">
        <v>989.6</v>
      </c>
      <c r="E239" s="8">
        <v>1039.2</v>
      </c>
      <c r="F239" s="8">
        <v>1626.9</v>
      </c>
      <c r="G239" s="8">
        <v>1441.3</v>
      </c>
      <c r="H239" s="8">
        <v>11576.8</v>
      </c>
      <c r="I239" s="8">
        <v>4640</v>
      </c>
      <c r="J239" s="8">
        <v>2188.1999999999998</v>
      </c>
      <c r="K239" s="8">
        <v>1051.2</v>
      </c>
      <c r="L239" s="8">
        <v>1131.5</v>
      </c>
      <c r="M239" s="8">
        <v>1773.5</v>
      </c>
      <c r="N239" s="8">
        <v>1465.8</v>
      </c>
      <c r="O239" s="8">
        <v>12250.2</v>
      </c>
      <c r="P239" s="8">
        <v>4614.3</v>
      </c>
      <c r="Q239" s="8">
        <v>2182.4</v>
      </c>
      <c r="R239" s="8">
        <v>1016.5</v>
      </c>
      <c r="S239" s="8">
        <v>1150.0999999999999</v>
      </c>
      <c r="T239" s="8">
        <v>1783.4</v>
      </c>
      <c r="U239" s="8">
        <v>1476.9</v>
      </c>
      <c r="V239" s="8">
        <v>12240.7</v>
      </c>
    </row>
    <row r="240" spans="1:22" x14ac:dyDescent="0.15">
      <c r="A240" s="9">
        <v>37012</v>
      </c>
      <c r="B240" s="8">
        <v>4603</v>
      </c>
      <c r="C240" s="8">
        <v>2118.3000000000002</v>
      </c>
      <c r="D240" s="8">
        <v>1056.3</v>
      </c>
      <c r="E240" s="8">
        <v>1123.5</v>
      </c>
      <c r="F240" s="8">
        <v>1728.6</v>
      </c>
      <c r="G240" s="8">
        <v>1446.1</v>
      </c>
      <c r="H240" s="8">
        <v>12075.8</v>
      </c>
      <c r="I240" s="8">
        <v>4646.1000000000004</v>
      </c>
      <c r="J240" s="8">
        <v>2201.9</v>
      </c>
      <c r="K240" s="8">
        <v>1035</v>
      </c>
      <c r="L240" s="8">
        <v>1156.4000000000001</v>
      </c>
      <c r="M240" s="8">
        <v>1784.6</v>
      </c>
      <c r="N240" s="8">
        <v>1458.6</v>
      </c>
      <c r="O240" s="8">
        <v>12282.6</v>
      </c>
      <c r="P240" s="8">
        <v>4642</v>
      </c>
      <c r="Q240" s="8">
        <v>2207.8000000000002</v>
      </c>
      <c r="R240" s="8">
        <v>1023.1</v>
      </c>
      <c r="S240" s="8">
        <v>1145.9000000000001</v>
      </c>
      <c r="T240" s="8">
        <v>1791.4</v>
      </c>
      <c r="U240" s="8">
        <v>1479</v>
      </c>
      <c r="V240" s="8">
        <v>12307.5</v>
      </c>
    </row>
    <row r="241" spans="1:22" x14ac:dyDescent="0.15">
      <c r="A241" s="9">
        <v>37043</v>
      </c>
      <c r="B241" s="8">
        <v>4458.2</v>
      </c>
      <c r="C241" s="8">
        <v>2205.1</v>
      </c>
      <c r="D241" s="8">
        <v>989.3</v>
      </c>
      <c r="E241" s="8">
        <v>1024.9000000000001</v>
      </c>
      <c r="F241" s="8">
        <v>1674.2</v>
      </c>
      <c r="G241" s="8">
        <v>1397.6</v>
      </c>
      <c r="H241" s="8">
        <v>11749.3</v>
      </c>
      <c r="I241" s="8">
        <v>4665</v>
      </c>
      <c r="J241" s="8">
        <v>2263.1999999999998</v>
      </c>
      <c r="K241" s="8">
        <v>1026.9000000000001</v>
      </c>
      <c r="L241" s="8">
        <v>1144.7</v>
      </c>
      <c r="M241" s="8">
        <v>1799.9</v>
      </c>
      <c r="N241" s="8">
        <v>1466.1</v>
      </c>
      <c r="O241" s="8">
        <v>12365.7</v>
      </c>
      <c r="P241" s="8">
        <v>4669.3</v>
      </c>
      <c r="Q241" s="8">
        <v>2234.3000000000002</v>
      </c>
      <c r="R241" s="8">
        <v>1027</v>
      </c>
      <c r="S241" s="8">
        <v>1138.8</v>
      </c>
      <c r="T241" s="8">
        <v>1794.6</v>
      </c>
      <c r="U241" s="8">
        <v>1477.6</v>
      </c>
      <c r="V241" s="8">
        <v>12356.8</v>
      </c>
    </row>
    <row r="242" spans="1:22" x14ac:dyDescent="0.15">
      <c r="A242" s="9">
        <v>37073</v>
      </c>
      <c r="B242" s="8">
        <v>4532.8</v>
      </c>
      <c r="C242" s="8">
        <v>2217.5</v>
      </c>
      <c r="D242" s="8">
        <v>976.7</v>
      </c>
      <c r="E242" s="8">
        <v>1100.8</v>
      </c>
      <c r="F242" s="8">
        <v>1733.8</v>
      </c>
      <c r="G242" s="8">
        <v>1477.4</v>
      </c>
      <c r="H242" s="8">
        <v>12038.9</v>
      </c>
      <c r="I242" s="8">
        <v>4676.8999999999996</v>
      </c>
      <c r="J242" s="8">
        <v>2280.9</v>
      </c>
      <c r="K242" s="8">
        <v>1038</v>
      </c>
      <c r="L242" s="8">
        <v>1150</v>
      </c>
      <c r="M242" s="8">
        <v>1806.9</v>
      </c>
      <c r="N242" s="8">
        <v>1483.4</v>
      </c>
      <c r="O242" s="8">
        <v>12436.1</v>
      </c>
      <c r="P242" s="8">
        <v>4697.6000000000004</v>
      </c>
      <c r="Q242" s="8">
        <v>2256</v>
      </c>
      <c r="R242" s="8">
        <v>1030.2</v>
      </c>
      <c r="S242" s="8">
        <v>1134.0999999999999</v>
      </c>
      <c r="T242" s="8">
        <v>1797.5</v>
      </c>
      <c r="U242" s="8">
        <v>1474.2</v>
      </c>
      <c r="V242" s="8">
        <v>12401.1</v>
      </c>
    </row>
    <row r="243" spans="1:22" x14ac:dyDescent="0.15">
      <c r="A243" s="9">
        <v>37104</v>
      </c>
      <c r="B243" s="8">
        <v>4745.1000000000004</v>
      </c>
      <c r="C243" s="8">
        <v>2253.1</v>
      </c>
      <c r="D243" s="8">
        <v>947.1</v>
      </c>
      <c r="E243" s="8">
        <v>963</v>
      </c>
      <c r="F243" s="8">
        <v>1792.2</v>
      </c>
      <c r="G243" s="8">
        <v>1504.6</v>
      </c>
      <c r="H243" s="8">
        <v>12204.9</v>
      </c>
      <c r="I243" s="8">
        <v>4725.1000000000004</v>
      </c>
      <c r="J243" s="8">
        <v>2292.9</v>
      </c>
      <c r="K243" s="8">
        <v>1025.0999999999999</v>
      </c>
      <c r="L243" s="8">
        <v>1107.4000000000001</v>
      </c>
      <c r="M243" s="8">
        <v>1802.8</v>
      </c>
      <c r="N243" s="8">
        <v>1489.4</v>
      </c>
      <c r="O243" s="8">
        <v>12442.8</v>
      </c>
      <c r="P243" s="8">
        <v>4729.3</v>
      </c>
      <c r="Q243" s="8">
        <v>2279.1999999999998</v>
      </c>
      <c r="R243" s="8">
        <v>1034</v>
      </c>
      <c r="S243" s="8">
        <v>1134.2</v>
      </c>
      <c r="T243" s="8">
        <v>1802.1</v>
      </c>
      <c r="U243" s="8">
        <v>1471.6</v>
      </c>
      <c r="V243" s="8">
        <v>12455.7</v>
      </c>
    </row>
    <row r="244" spans="1:22" x14ac:dyDescent="0.15">
      <c r="A244" s="9">
        <v>37135</v>
      </c>
      <c r="B244" s="8">
        <v>4606.5</v>
      </c>
      <c r="C244" s="8">
        <v>2188.6999999999998</v>
      </c>
      <c r="D244" s="8">
        <v>985.1</v>
      </c>
      <c r="E244" s="8">
        <v>1012.9</v>
      </c>
      <c r="F244" s="8">
        <v>1718.8</v>
      </c>
      <c r="G244" s="8">
        <v>1437.2</v>
      </c>
      <c r="H244" s="8">
        <v>11949.3</v>
      </c>
      <c r="I244" s="8">
        <v>4771.1000000000004</v>
      </c>
      <c r="J244" s="8">
        <v>2273.4</v>
      </c>
      <c r="K244" s="8">
        <v>1031.0999999999999</v>
      </c>
      <c r="L244" s="8">
        <v>1115.2</v>
      </c>
      <c r="M244" s="8">
        <v>1797.1</v>
      </c>
      <c r="N244" s="8">
        <v>1474.2</v>
      </c>
      <c r="O244" s="8">
        <v>12462.2</v>
      </c>
      <c r="P244" s="8">
        <v>4766.7</v>
      </c>
      <c r="Q244" s="8">
        <v>2302.6</v>
      </c>
      <c r="R244" s="8">
        <v>1042.0999999999999</v>
      </c>
      <c r="S244" s="8">
        <v>1140.5999999999999</v>
      </c>
      <c r="T244" s="8">
        <v>1808.3</v>
      </c>
      <c r="U244" s="8">
        <v>1468</v>
      </c>
      <c r="V244" s="8">
        <v>12529.8</v>
      </c>
    </row>
    <row r="245" spans="1:22" x14ac:dyDescent="0.15">
      <c r="A245" s="9">
        <v>37165</v>
      </c>
      <c r="B245" s="8">
        <v>4863.1000000000004</v>
      </c>
      <c r="C245" s="8">
        <v>2404.9</v>
      </c>
      <c r="D245" s="8">
        <v>1079.5</v>
      </c>
      <c r="E245" s="8">
        <v>1132</v>
      </c>
      <c r="F245" s="8">
        <v>1829.9</v>
      </c>
      <c r="G245" s="8">
        <v>1488.5</v>
      </c>
      <c r="H245" s="8">
        <v>12797.9</v>
      </c>
      <c r="I245" s="8">
        <v>4810.7</v>
      </c>
      <c r="J245" s="8">
        <v>2330</v>
      </c>
      <c r="K245" s="8">
        <v>1061</v>
      </c>
      <c r="L245" s="8">
        <v>1163.3</v>
      </c>
      <c r="M245" s="8">
        <v>1814.1</v>
      </c>
      <c r="N245" s="8">
        <v>1447.8</v>
      </c>
      <c r="O245" s="8">
        <v>12627.1</v>
      </c>
      <c r="P245" s="8">
        <v>4805.7</v>
      </c>
      <c r="Q245" s="8">
        <v>2330</v>
      </c>
      <c r="R245" s="8">
        <v>1055</v>
      </c>
      <c r="S245" s="8">
        <v>1151.5</v>
      </c>
      <c r="T245" s="8">
        <v>1817</v>
      </c>
      <c r="U245" s="8">
        <v>1463.2</v>
      </c>
      <c r="V245" s="8">
        <v>12621.3</v>
      </c>
    </row>
    <row r="246" spans="1:22" x14ac:dyDescent="0.15">
      <c r="A246" s="9">
        <v>37196</v>
      </c>
      <c r="B246" s="8">
        <v>4941.5</v>
      </c>
      <c r="C246" s="8">
        <v>2517.4</v>
      </c>
      <c r="D246" s="8">
        <v>1128.2</v>
      </c>
      <c r="E246" s="8">
        <v>1344.8</v>
      </c>
      <c r="F246" s="8">
        <v>1944.2</v>
      </c>
      <c r="G246" s="8">
        <v>1482.9</v>
      </c>
      <c r="H246" s="8">
        <v>13359</v>
      </c>
      <c r="I246" s="8">
        <v>4839.7</v>
      </c>
      <c r="J246" s="8">
        <v>2349</v>
      </c>
      <c r="K246" s="8">
        <v>1062.5</v>
      </c>
      <c r="L246" s="8">
        <v>1176.3</v>
      </c>
      <c r="M246" s="8">
        <v>1827.8</v>
      </c>
      <c r="N246" s="8">
        <v>1449.4</v>
      </c>
      <c r="O246" s="8">
        <v>12704.7</v>
      </c>
      <c r="P246" s="8">
        <v>4847.1000000000004</v>
      </c>
      <c r="Q246" s="8">
        <v>2355.3000000000002</v>
      </c>
      <c r="R246" s="8">
        <v>1070.9000000000001</v>
      </c>
      <c r="S246" s="8">
        <v>1163</v>
      </c>
      <c r="T246" s="8">
        <v>1828.2</v>
      </c>
      <c r="U246" s="8">
        <v>1458.5</v>
      </c>
      <c r="V246" s="8">
        <v>12721.9</v>
      </c>
    </row>
    <row r="247" spans="1:22" x14ac:dyDescent="0.15">
      <c r="A247" s="9">
        <v>37226</v>
      </c>
      <c r="B247" s="8">
        <v>5543</v>
      </c>
      <c r="C247" s="8">
        <v>3113.9</v>
      </c>
      <c r="D247" s="8">
        <v>1616.1</v>
      </c>
      <c r="E247" s="8">
        <v>2269.5</v>
      </c>
      <c r="F247" s="8">
        <v>2589.6</v>
      </c>
      <c r="G247" s="8">
        <v>1611.4</v>
      </c>
      <c r="H247" s="8">
        <v>16743.5</v>
      </c>
      <c r="I247" s="8">
        <v>4875.8999999999996</v>
      </c>
      <c r="J247" s="8">
        <v>2388</v>
      </c>
      <c r="K247" s="8">
        <v>1089.5999999999999</v>
      </c>
      <c r="L247" s="8">
        <v>1193.5999999999999</v>
      </c>
      <c r="M247" s="8">
        <v>1844</v>
      </c>
      <c r="N247" s="8">
        <v>1459.5</v>
      </c>
      <c r="O247" s="8">
        <v>12850.6</v>
      </c>
      <c r="P247" s="8">
        <v>4882.1000000000004</v>
      </c>
      <c r="Q247" s="8">
        <v>2382.4</v>
      </c>
      <c r="R247" s="8">
        <v>1087.5999999999999</v>
      </c>
      <c r="S247" s="8">
        <v>1174.4000000000001</v>
      </c>
      <c r="T247" s="8">
        <v>1844.8</v>
      </c>
      <c r="U247" s="8">
        <v>1456.9</v>
      </c>
      <c r="V247" s="8">
        <v>12827.6</v>
      </c>
    </row>
    <row r="248" spans="1:22" x14ac:dyDescent="0.15">
      <c r="A248" s="9">
        <v>37257</v>
      </c>
      <c r="B248" s="8">
        <v>5044.6000000000004</v>
      </c>
      <c r="C248" s="8">
        <v>2438.8000000000002</v>
      </c>
      <c r="D248" s="8">
        <v>1072.5999999999999</v>
      </c>
      <c r="E248" s="8">
        <v>1027.9000000000001</v>
      </c>
      <c r="F248" s="8">
        <v>1769.9</v>
      </c>
      <c r="G248" s="8">
        <v>1482.1</v>
      </c>
      <c r="H248" s="8">
        <v>12836</v>
      </c>
      <c r="I248" s="8">
        <v>4944.3</v>
      </c>
      <c r="J248" s="8">
        <v>2454.1</v>
      </c>
      <c r="K248" s="8">
        <v>1110.4000000000001</v>
      </c>
      <c r="L248" s="8">
        <v>1172.5999999999999</v>
      </c>
      <c r="M248" s="8">
        <v>1871.7</v>
      </c>
      <c r="N248" s="8">
        <v>1465.8</v>
      </c>
      <c r="O248" s="8">
        <v>13018.9</v>
      </c>
      <c r="P248" s="8">
        <v>4908.3</v>
      </c>
      <c r="Q248" s="8">
        <v>2415.1999999999998</v>
      </c>
      <c r="R248" s="8">
        <v>1101.5</v>
      </c>
      <c r="S248" s="8">
        <v>1183</v>
      </c>
      <c r="T248" s="8">
        <v>1864.3</v>
      </c>
      <c r="U248" s="8">
        <v>1459.4</v>
      </c>
      <c r="V248" s="8">
        <v>12932.7</v>
      </c>
    </row>
    <row r="249" spans="1:22" x14ac:dyDescent="0.15">
      <c r="A249" s="9">
        <v>37288</v>
      </c>
      <c r="B249" s="8">
        <v>4559.3999999999996</v>
      </c>
      <c r="C249" s="8">
        <v>2123.9</v>
      </c>
      <c r="D249" s="8">
        <v>895.5</v>
      </c>
      <c r="E249" s="8">
        <v>841.4</v>
      </c>
      <c r="F249" s="8">
        <v>1642.5</v>
      </c>
      <c r="G249" s="8">
        <v>1329.8</v>
      </c>
      <c r="H249" s="8">
        <v>11392.4</v>
      </c>
      <c r="I249" s="8">
        <v>4927.7</v>
      </c>
      <c r="J249" s="8">
        <v>2416</v>
      </c>
      <c r="K249" s="8">
        <v>1115.2</v>
      </c>
      <c r="L249" s="8">
        <v>1178.5</v>
      </c>
      <c r="M249" s="8">
        <v>1874.9</v>
      </c>
      <c r="N249" s="8">
        <v>1462.3</v>
      </c>
      <c r="O249" s="8">
        <v>12974.7</v>
      </c>
      <c r="P249" s="8">
        <v>4932</v>
      </c>
      <c r="Q249" s="8">
        <v>2450</v>
      </c>
      <c r="R249" s="8">
        <v>1109.5999999999999</v>
      </c>
      <c r="S249" s="8">
        <v>1188.5</v>
      </c>
      <c r="T249" s="8">
        <v>1884.4</v>
      </c>
      <c r="U249" s="8">
        <v>1464.4</v>
      </c>
      <c r="V249" s="8">
        <v>13028.5</v>
      </c>
    </row>
    <row r="250" spans="1:22" x14ac:dyDescent="0.15">
      <c r="A250" s="9">
        <v>37316</v>
      </c>
      <c r="B250" s="8">
        <v>5098.2</v>
      </c>
      <c r="C250" s="8">
        <v>2296.4</v>
      </c>
      <c r="D250" s="8">
        <v>1016.1</v>
      </c>
      <c r="E250" s="8">
        <v>1043.9000000000001</v>
      </c>
      <c r="F250" s="8">
        <v>1795</v>
      </c>
      <c r="G250" s="8">
        <v>1478.9</v>
      </c>
      <c r="H250" s="8">
        <v>12728.5</v>
      </c>
      <c r="I250" s="8">
        <v>4952.3</v>
      </c>
      <c r="J250" s="8">
        <v>2445.4</v>
      </c>
      <c r="K250" s="8">
        <v>1112.8</v>
      </c>
      <c r="L250" s="8">
        <v>1184.3</v>
      </c>
      <c r="M250" s="8">
        <v>1901.1</v>
      </c>
      <c r="N250" s="8">
        <v>1473.5</v>
      </c>
      <c r="O250" s="8">
        <v>13069.4</v>
      </c>
      <c r="P250" s="8">
        <v>4954</v>
      </c>
      <c r="Q250" s="8">
        <v>2482.6</v>
      </c>
      <c r="R250" s="8">
        <v>1110.9000000000001</v>
      </c>
      <c r="S250" s="8">
        <v>1191.3</v>
      </c>
      <c r="T250" s="8">
        <v>1900.9</v>
      </c>
      <c r="U250" s="8">
        <v>1473</v>
      </c>
      <c r="V250" s="8">
        <v>13112.4</v>
      </c>
    </row>
    <row r="251" spans="1:22" x14ac:dyDescent="0.15">
      <c r="A251" s="9">
        <v>37347</v>
      </c>
      <c r="B251" s="8">
        <v>4747.6000000000004</v>
      </c>
      <c r="C251" s="8">
        <v>2336</v>
      </c>
      <c r="D251" s="8">
        <v>1058.2</v>
      </c>
      <c r="E251" s="8">
        <v>1075.3</v>
      </c>
      <c r="F251" s="8">
        <v>1778.3</v>
      </c>
      <c r="G251" s="8">
        <v>1460.4</v>
      </c>
      <c r="H251" s="8">
        <v>12455.8</v>
      </c>
      <c r="I251" s="8">
        <v>4945</v>
      </c>
      <c r="J251" s="8">
        <v>2525</v>
      </c>
      <c r="K251" s="8">
        <v>1103.8</v>
      </c>
      <c r="L251" s="8">
        <v>1189.3</v>
      </c>
      <c r="M251" s="8">
        <v>1922.3</v>
      </c>
      <c r="N251" s="8">
        <v>1487.2</v>
      </c>
      <c r="O251" s="8">
        <v>13172.6</v>
      </c>
      <c r="P251" s="8">
        <v>4979.2</v>
      </c>
      <c r="Q251" s="8">
        <v>2510.1999999999998</v>
      </c>
      <c r="R251" s="8">
        <v>1107.5999999999999</v>
      </c>
      <c r="S251" s="8">
        <v>1193.4000000000001</v>
      </c>
      <c r="T251" s="8">
        <v>1918.7</v>
      </c>
      <c r="U251" s="8">
        <v>1483.9</v>
      </c>
      <c r="V251" s="8">
        <v>13190.4</v>
      </c>
    </row>
    <row r="252" spans="1:22" x14ac:dyDescent="0.15">
      <c r="A252" s="9">
        <v>37377</v>
      </c>
      <c r="B252" s="8">
        <v>5028.5</v>
      </c>
      <c r="C252" s="8">
        <v>2478.6</v>
      </c>
      <c r="D252" s="8">
        <v>1139.2</v>
      </c>
      <c r="E252" s="8">
        <v>1190.9000000000001</v>
      </c>
      <c r="F252" s="8">
        <v>1898.8</v>
      </c>
      <c r="G252" s="8">
        <v>1481.9</v>
      </c>
      <c r="H252" s="8">
        <v>13217.9</v>
      </c>
      <c r="I252" s="8">
        <v>5026.8999999999996</v>
      </c>
      <c r="J252" s="8">
        <v>2567.8000000000002</v>
      </c>
      <c r="K252" s="8">
        <v>1120.3</v>
      </c>
      <c r="L252" s="8">
        <v>1240.0999999999999</v>
      </c>
      <c r="M252" s="8">
        <v>1950</v>
      </c>
      <c r="N252" s="8">
        <v>1476.8</v>
      </c>
      <c r="O252" s="8">
        <v>13381.8</v>
      </c>
      <c r="P252" s="8">
        <v>5005.3</v>
      </c>
      <c r="Q252" s="8">
        <v>2530.4</v>
      </c>
      <c r="R252" s="8">
        <v>1103.0999999999999</v>
      </c>
      <c r="S252" s="8">
        <v>1193.7</v>
      </c>
      <c r="T252" s="8">
        <v>1931.2</v>
      </c>
      <c r="U252" s="8">
        <v>1496.1</v>
      </c>
      <c r="V252" s="8">
        <v>13261.2</v>
      </c>
    </row>
    <row r="253" spans="1:22" x14ac:dyDescent="0.15">
      <c r="A253" s="9">
        <v>37408</v>
      </c>
      <c r="B253" s="8">
        <v>4716.1000000000004</v>
      </c>
      <c r="C253" s="8">
        <v>2475</v>
      </c>
      <c r="D253" s="8">
        <v>1029.5</v>
      </c>
      <c r="E253" s="8">
        <v>1143</v>
      </c>
      <c r="F253" s="8">
        <v>1762.1</v>
      </c>
      <c r="G253" s="8">
        <v>1424.9</v>
      </c>
      <c r="H253" s="8">
        <v>12550.6</v>
      </c>
      <c r="I253" s="8">
        <v>5024.2</v>
      </c>
      <c r="J253" s="8">
        <v>2566</v>
      </c>
      <c r="K253" s="8">
        <v>1077.4000000000001</v>
      </c>
      <c r="L253" s="8">
        <v>1165.7</v>
      </c>
      <c r="M253" s="8">
        <v>1925.5</v>
      </c>
      <c r="N253" s="8">
        <v>1513.7</v>
      </c>
      <c r="O253" s="8">
        <v>13272.5</v>
      </c>
      <c r="P253" s="8">
        <v>5037.7</v>
      </c>
      <c r="Q253" s="8">
        <v>2543.6999999999998</v>
      </c>
      <c r="R253" s="8">
        <v>1101.8</v>
      </c>
      <c r="S253" s="8">
        <v>1193.7</v>
      </c>
      <c r="T253" s="8">
        <v>1941.2</v>
      </c>
      <c r="U253" s="8">
        <v>1506.8</v>
      </c>
      <c r="V253" s="8">
        <v>13325.7</v>
      </c>
    </row>
    <row r="254" spans="1:22" x14ac:dyDescent="0.15">
      <c r="A254" s="9">
        <v>37438</v>
      </c>
      <c r="B254" s="8">
        <v>4971.5</v>
      </c>
      <c r="C254" s="8">
        <v>2465.3000000000002</v>
      </c>
      <c r="D254" s="8">
        <v>1033.3</v>
      </c>
      <c r="E254" s="8">
        <v>1075.7</v>
      </c>
      <c r="F254" s="8">
        <v>1870.2</v>
      </c>
      <c r="G254" s="8">
        <v>1527.3</v>
      </c>
      <c r="H254" s="8">
        <v>12943.3</v>
      </c>
      <c r="I254" s="8">
        <v>5080</v>
      </c>
      <c r="J254" s="8">
        <v>2520.6999999999998</v>
      </c>
      <c r="K254" s="8">
        <v>1095.2</v>
      </c>
      <c r="L254" s="8">
        <v>1200</v>
      </c>
      <c r="M254" s="8">
        <v>1927.9</v>
      </c>
      <c r="N254" s="8">
        <v>1527.3</v>
      </c>
      <c r="O254" s="8">
        <v>13351.1</v>
      </c>
      <c r="P254" s="8">
        <v>5068.7</v>
      </c>
      <c r="Q254" s="8">
        <v>2551.3000000000002</v>
      </c>
      <c r="R254" s="8">
        <v>1109.5</v>
      </c>
      <c r="S254" s="8">
        <v>1196.8</v>
      </c>
      <c r="T254" s="8">
        <v>1946.1</v>
      </c>
      <c r="U254" s="8">
        <v>1515.7</v>
      </c>
      <c r="V254" s="8">
        <v>13388.6</v>
      </c>
    </row>
    <row r="255" spans="1:22" x14ac:dyDescent="0.15">
      <c r="A255" s="9">
        <v>37469</v>
      </c>
      <c r="B255" s="8">
        <v>5145.5</v>
      </c>
      <c r="C255" s="8">
        <v>2501.1999999999998</v>
      </c>
      <c r="D255" s="8">
        <v>1050.5999999999999</v>
      </c>
      <c r="E255" s="8">
        <v>1065.9000000000001</v>
      </c>
      <c r="F255" s="8">
        <v>1946.9</v>
      </c>
      <c r="G255" s="8">
        <v>1551.6</v>
      </c>
      <c r="H255" s="8">
        <v>13261.7</v>
      </c>
      <c r="I255" s="8">
        <v>5100.5</v>
      </c>
      <c r="J255" s="8">
        <v>2546.8000000000002</v>
      </c>
      <c r="K255" s="8">
        <v>1134.5999999999999</v>
      </c>
      <c r="L255" s="8">
        <v>1190.5</v>
      </c>
      <c r="M255" s="8">
        <v>1975.7</v>
      </c>
      <c r="N255" s="8">
        <v>1537.2</v>
      </c>
      <c r="O255" s="8">
        <v>13485.3</v>
      </c>
      <c r="P255" s="8">
        <v>5105</v>
      </c>
      <c r="Q255" s="8">
        <v>2553.3000000000002</v>
      </c>
      <c r="R255" s="8">
        <v>1121.3</v>
      </c>
      <c r="S255" s="8">
        <v>1205.3</v>
      </c>
      <c r="T255" s="8">
        <v>1945.4</v>
      </c>
      <c r="U255" s="8">
        <v>1522.3</v>
      </c>
      <c r="V255" s="8">
        <v>13452.5</v>
      </c>
    </row>
    <row r="256" spans="1:22" x14ac:dyDescent="0.15">
      <c r="A256" s="9">
        <v>37500</v>
      </c>
      <c r="B256" s="8">
        <v>4912.5</v>
      </c>
      <c r="C256" s="8">
        <v>2460.6</v>
      </c>
      <c r="D256" s="8">
        <v>1079</v>
      </c>
      <c r="E256" s="8">
        <v>1060.0999999999999</v>
      </c>
      <c r="F256" s="8">
        <v>1880.9</v>
      </c>
      <c r="G256" s="8">
        <v>1495.1</v>
      </c>
      <c r="H256" s="8">
        <v>12888.3</v>
      </c>
      <c r="I256" s="8">
        <v>5143.5</v>
      </c>
      <c r="J256" s="8">
        <v>2547.4</v>
      </c>
      <c r="K256" s="8">
        <v>1136.2</v>
      </c>
      <c r="L256" s="8">
        <v>1209.8</v>
      </c>
      <c r="M256" s="8">
        <v>1960.4</v>
      </c>
      <c r="N256" s="8">
        <v>1528.5</v>
      </c>
      <c r="O256" s="8">
        <v>13525.8</v>
      </c>
      <c r="P256" s="8">
        <v>5134.8</v>
      </c>
      <c r="Q256" s="8">
        <v>2551.8000000000002</v>
      </c>
      <c r="R256" s="8">
        <v>1134.9000000000001</v>
      </c>
      <c r="S256" s="8">
        <v>1219.3</v>
      </c>
      <c r="T256" s="8">
        <v>1946.3</v>
      </c>
      <c r="U256" s="8">
        <v>1529.8</v>
      </c>
      <c r="V256" s="8">
        <v>13517.1</v>
      </c>
    </row>
    <row r="257" spans="1:22" x14ac:dyDescent="0.15">
      <c r="A257" s="9">
        <v>37530</v>
      </c>
      <c r="B257" s="8">
        <v>5283.5</v>
      </c>
      <c r="C257" s="8">
        <v>2635.3</v>
      </c>
      <c r="D257" s="8">
        <v>1170</v>
      </c>
      <c r="E257" s="8">
        <v>1211.4000000000001</v>
      </c>
      <c r="F257" s="8">
        <v>1942</v>
      </c>
      <c r="G257" s="8">
        <v>1556.6</v>
      </c>
      <c r="H257" s="8">
        <v>13798.9</v>
      </c>
      <c r="I257" s="8">
        <v>5152.8999999999996</v>
      </c>
      <c r="J257" s="8">
        <v>2543.6999999999998</v>
      </c>
      <c r="K257" s="8">
        <v>1137.0999999999999</v>
      </c>
      <c r="L257" s="8">
        <v>1219.5</v>
      </c>
      <c r="M257" s="8">
        <v>1916</v>
      </c>
      <c r="N257" s="8">
        <v>1505.1</v>
      </c>
      <c r="O257" s="8">
        <v>13474.3</v>
      </c>
      <c r="P257" s="8">
        <v>5164.8999999999996</v>
      </c>
      <c r="Q257" s="8">
        <v>2550.6999999999998</v>
      </c>
      <c r="R257" s="8">
        <v>1146.8</v>
      </c>
      <c r="S257" s="8">
        <v>1235.8</v>
      </c>
      <c r="T257" s="8">
        <v>1945.9</v>
      </c>
      <c r="U257" s="8">
        <v>1538.1</v>
      </c>
      <c r="V257" s="8">
        <v>13581.8</v>
      </c>
    </row>
    <row r="258" spans="1:22" x14ac:dyDescent="0.15">
      <c r="A258" s="9">
        <v>37561</v>
      </c>
      <c r="B258" s="8">
        <v>5300.6</v>
      </c>
      <c r="C258" s="8">
        <v>2752.9</v>
      </c>
      <c r="D258" s="8">
        <v>1250.2</v>
      </c>
      <c r="E258" s="8">
        <v>1495.1</v>
      </c>
      <c r="F258" s="8">
        <v>2047.7</v>
      </c>
      <c r="G258" s="8">
        <v>1571.9</v>
      </c>
      <c r="H258" s="8">
        <v>14418.4</v>
      </c>
      <c r="I258" s="8">
        <v>5213.2</v>
      </c>
      <c r="J258" s="8">
        <v>2574.9</v>
      </c>
      <c r="K258" s="8">
        <v>1178</v>
      </c>
      <c r="L258" s="8">
        <v>1303.2</v>
      </c>
      <c r="M258" s="8">
        <v>1939.7</v>
      </c>
      <c r="N258" s="8">
        <v>1547.3</v>
      </c>
      <c r="O258" s="8">
        <v>13756.4</v>
      </c>
      <c r="P258" s="8">
        <v>5191.5</v>
      </c>
      <c r="Q258" s="8">
        <v>2551.9</v>
      </c>
      <c r="R258" s="8">
        <v>1155.4000000000001</v>
      </c>
      <c r="S258" s="8">
        <v>1251.5999999999999</v>
      </c>
      <c r="T258" s="8">
        <v>1946.8</v>
      </c>
      <c r="U258" s="8">
        <v>1545.4</v>
      </c>
      <c r="V258" s="8">
        <v>13642.2</v>
      </c>
    </row>
    <row r="259" spans="1:22" x14ac:dyDescent="0.15">
      <c r="A259" s="9">
        <v>37591</v>
      </c>
      <c r="B259" s="8">
        <v>5862.1</v>
      </c>
      <c r="C259" s="8">
        <v>3366.1</v>
      </c>
      <c r="D259" s="8">
        <v>1730.9</v>
      </c>
      <c r="E259" s="8">
        <v>2338.6</v>
      </c>
      <c r="F259" s="8">
        <v>2769.7</v>
      </c>
      <c r="G259" s="8">
        <v>1734</v>
      </c>
      <c r="H259" s="8">
        <v>17801.400000000001</v>
      </c>
      <c r="I259" s="8">
        <v>5193.2</v>
      </c>
      <c r="J259" s="8">
        <v>2570.1</v>
      </c>
      <c r="K259" s="8">
        <v>1170.8</v>
      </c>
      <c r="L259" s="8">
        <v>1265.3</v>
      </c>
      <c r="M259" s="8">
        <v>1953.3</v>
      </c>
      <c r="N259" s="8">
        <v>1571.4</v>
      </c>
      <c r="O259" s="8">
        <v>13724.1</v>
      </c>
      <c r="P259" s="8">
        <v>5217.5</v>
      </c>
      <c r="Q259" s="8">
        <v>2551.6</v>
      </c>
      <c r="R259" s="8">
        <v>1160.2</v>
      </c>
      <c r="S259" s="8">
        <v>1263.5999999999999</v>
      </c>
      <c r="T259" s="8">
        <v>1949</v>
      </c>
      <c r="U259" s="8">
        <v>1555.4</v>
      </c>
      <c r="V259" s="8">
        <v>13698.5</v>
      </c>
    </row>
    <row r="260" spans="1:22" x14ac:dyDescent="0.15">
      <c r="A260" s="9">
        <v>37622</v>
      </c>
      <c r="B260" s="8">
        <v>5402.8</v>
      </c>
      <c r="C260" s="8">
        <v>2528.5</v>
      </c>
      <c r="D260" s="8">
        <v>1108.8</v>
      </c>
      <c r="E260" s="8">
        <v>1099.3</v>
      </c>
      <c r="F260" s="8">
        <v>1876.5</v>
      </c>
      <c r="G260" s="8">
        <v>1620.4</v>
      </c>
      <c r="H260" s="8">
        <v>13636.3</v>
      </c>
      <c r="I260" s="8">
        <v>5243.2</v>
      </c>
      <c r="J260" s="8">
        <v>2533.6</v>
      </c>
      <c r="K260" s="8">
        <v>1145.5999999999999</v>
      </c>
      <c r="L260" s="8">
        <v>1256.0999999999999</v>
      </c>
      <c r="M260" s="8">
        <v>1976.9</v>
      </c>
      <c r="N260" s="8">
        <v>1587.3</v>
      </c>
      <c r="O260" s="8">
        <v>13742.8</v>
      </c>
      <c r="P260" s="8">
        <v>5235.3999999999996</v>
      </c>
      <c r="Q260" s="8">
        <v>2553.6999999999998</v>
      </c>
      <c r="R260" s="8">
        <v>1163.5999999999999</v>
      </c>
      <c r="S260" s="8">
        <v>1270.4000000000001</v>
      </c>
      <c r="T260" s="8">
        <v>1958.6</v>
      </c>
      <c r="U260" s="8">
        <v>1568.2</v>
      </c>
      <c r="V260" s="8">
        <v>13750.1</v>
      </c>
    </row>
    <row r="261" spans="1:22" x14ac:dyDescent="0.15">
      <c r="A261" s="9">
        <v>37653</v>
      </c>
      <c r="B261" s="8">
        <v>4861</v>
      </c>
      <c r="C261" s="8">
        <v>2231.8000000000002</v>
      </c>
      <c r="D261" s="8">
        <v>925</v>
      </c>
      <c r="E261" s="8">
        <v>900.5</v>
      </c>
      <c r="F261" s="8">
        <v>1727.3</v>
      </c>
      <c r="G261" s="8">
        <v>1421.8</v>
      </c>
      <c r="H261" s="8">
        <v>12067.5</v>
      </c>
      <c r="I261" s="8">
        <v>5255.7</v>
      </c>
      <c r="J261" s="8">
        <v>2546.1</v>
      </c>
      <c r="K261" s="8">
        <v>1152.7</v>
      </c>
      <c r="L261" s="8">
        <v>1255.3</v>
      </c>
      <c r="M261" s="8">
        <v>1971.9</v>
      </c>
      <c r="N261" s="8">
        <v>1565</v>
      </c>
      <c r="O261" s="8">
        <v>13746.6</v>
      </c>
      <c r="P261" s="8">
        <v>5254.3</v>
      </c>
      <c r="Q261" s="8">
        <v>2561.3000000000002</v>
      </c>
      <c r="R261" s="8">
        <v>1166.9000000000001</v>
      </c>
      <c r="S261" s="8">
        <v>1274.0999999999999</v>
      </c>
      <c r="T261" s="8">
        <v>1967.9</v>
      </c>
      <c r="U261" s="8">
        <v>1581.8</v>
      </c>
      <c r="V261" s="8">
        <v>13806.4</v>
      </c>
    </row>
    <row r="262" spans="1:22" x14ac:dyDescent="0.15">
      <c r="A262" s="9">
        <v>37681</v>
      </c>
      <c r="B262" s="8">
        <v>5280.2</v>
      </c>
      <c r="C262" s="8">
        <v>2430.6999999999998</v>
      </c>
      <c r="D262" s="8">
        <v>1072.8</v>
      </c>
      <c r="E262" s="8">
        <v>1092.7</v>
      </c>
      <c r="F262" s="8">
        <v>1839.2</v>
      </c>
      <c r="G262" s="8">
        <v>1574.2</v>
      </c>
      <c r="H262" s="8">
        <v>13289.7</v>
      </c>
      <c r="I262" s="8">
        <v>5284.3</v>
      </c>
      <c r="J262" s="8">
        <v>2574.8000000000002</v>
      </c>
      <c r="K262" s="8">
        <v>1167.2</v>
      </c>
      <c r="L262" s="8">
        <v>1280.5</v>
      </c>
      <c r="M262" s="8">
        <v>1953.9</v>
      </c>
      <c r="N262" s="8">
        <v>1583.4</v>
      </c>
      <c r="O262" s="8">
        <v>13844.2</v>
      </c>
      <c r="P262" s="8">
        <v>5267.9</v>
      </c>
      <c r="Q262" s="8">
        <v>2578.8000000000002</v>
      </c>
      <c r="R262" s="8">
        <v>1172.4000000000001</v>
      </c>
      <c r="S262" s="8">
        <v>1275.8</v>
      </c>
      <c r="T262" s="8">
        <v>1981.8</v>
      </c>
      <c r="U262" s="8">
        <v>1597.2</v>
      </c>
      <c r="V262" s="8">
        <v>13871.4</v>
      </c>
    </row>
    <row r="263" spans="1:22" x14ac:dyDescent="0.15">
      <c r="A263" s="9">
        <v>37712</v>
      </c>
      <c r="B263" s="8">
        <v>5171.5</v>
      </c>
      <c r="C263" s="8">
        <v>2368.9</v>
      </c>
      <c r="D263" s="8">
        <v>1144.4000000000001</v>
      </c>
      <c r="E263" s="8">
        <v>1222.4000000000001</v>
      </c>
      <c r="F263" s="8">
        <v>1851.6</v>
      </c>
      <c r="G263" s="8">
        <v>1589.1</v>
      </c>
      <c r="H263" s="8">
        <v>13347.9</v>
      </c>
      <c r="I263" s="8">
        <v>5263.3</v>
      </c>
      <c r="J263" s="8">
        <v>2605.6999999999998</v>
      </c>
      <c r="K263" s="8">
        <v>1208.7</v>
      </c>
      <c r="L263" s="8">
        <v>1296.0999999999999</v>
      </c>
      <c r="M263" s="8">
        <v>2004.1</v>
      </c>
      <c r="N263" s="8">
        <v>1617.4</v>
      </c>
      <c r="O263" s="8">
        <v>13995.3</v>
      </c>
      <c r="P263" s="8">
        <v>5276.7</v>
      </c>
      <c r="Q263" s="8">
        <v>2605.8000000000002</v>
      </c>
      <c r="R263" s="8">
        <v>1176.7</v>
      </c>
      <c r="S263" s="8">
        <v>1277.5</v>
      </c>
      <c r="T263" s="8">
        <v>1997.7</v>
      </c>
      <c r="U263" s="8">
        <v>1614.8</v>
      </c>
      <c r="V263" s="8">
        <v>13948.8</v>
      </c>
    </row>
    <row r="264" spans="1:22" x14ac:dyDescent="0.15">
      <c r="A264" s="9">
        <v>37742</v>
      </c>
      <c r="B264" s="8">
        <v>5316.3</v>
      </c>
      <c r="C264" s="8">
        <v>2539.9</v>
      </c>
      <c r="D264" s="8">
        <v>1188.2</v>
      </c>
      <c r="E264" s="8">
        <v>1237.0999999999999</v>
      </c>
      <c r="F264" s="8">
        <v>1958.4</v>
      </c>
      <c r="G264" s="8">
        <v>1657.4</v>
      </c>
      <c r="H264" s="8">
        <v>13897.3</v>
      </c>
      <c r="I264" s="8">
        <v>5309.2</v>
      </c>
      <c r="J264" s="8">
        <v>2643.1</v>
      </c>
      <c r="K264" s="8">
        <v>1171.2</v>
      </c>
      <c r="L264" s="8">
        <v>1279.0999999999999</v>
      </c>
      <c r="M264" s="8">
        <v>2030</v>
      </c>
      <c r="N264" s="8">
        <v>1659.8</v>
      </c>
      <c r="O264" s="8">
        <v>14092.6</v>
      </c>
      <c r="P264" s="8">
        <v>5287.1</v>
      </c>
      <c r="Q264" s="8">
        <v>2641.8</v>
      </c>
      <c r="R264" s="8">
        <v>1180.5</v>
      </c>
      <c r="S264" s="8">
        <v>1280.3</v>
      </c>
      <c r="T264" s="8">
        <v>2018.8</v>
      </c>
      <c r="U264" s="8">
        <v>1636.3</v>
      </c>
      <c r="V264" s="8">
        <v>14042.8</v>
      </c>
    </row>
    <row r="265" spans="1:22" x14ac:dyDescent="0.15">
      <c r="A265" s="9">
        <v>37773</v>
      </c>
      <c r="B265" s="8">
        <v>4895.3999999999996</v>
      </c>
      <c r="C265" s="8">
        <v>2595.6</v>
      </c>
      <c r="D265" s="8">
        <v>1130.4000000000001</v>
      </c>
      <c r="E265" s="8">
        <v>1237.9000000000001</v>
      </c>
      <c r="F265" s="8">
        <v>1870.4</v>
      </c>
      <c r="G265" s="8">
        <v>1554.2</v>
      </c>
      <c r="H265" s="8">
        <v>13284</v>
      </c>
      <c r="I265" s="8">
        <v>5258.7</v>
      </c>
      <c r="J265" s="8">
        <v>2678.8</v>
      </c>
      <c r="K265" s="8">
        <v>1185</v>
      </c>
      <c r="L265" s="8">
        <v>1282.9000000000001</v>
      </c>
      <c r="M265" s="8">
        <v>2029.5</v>
      </c>
      <c r="N265" s="8">
        <v>1640.2</v>
      </c>
      <c r="O265" s="8">
        <v>14075.2</v>
      </c>
      <c r="P265" s="8">
        <v>5296.3</v>
      </c>
      <c r="Q265" s="8">
        <v>2681</v>
      </c>
      <c r="R265" s="8">
        <v>1186.8</v>
      </c>
      <c r="S265" s="8">
        <v>1285.7</v>
      </c>
      <c r="T265" s="8">
        <v>2044.7</v>
      </c>
      <c r="U265" s="8">
        <v>1663.6</v>
      </c>
      <c r="V265" s="8">
        <v>14158.4</v>
      </c>
    </row>
    <row r="266" spans="1:22" x14ac:dyDescent="0.15">
      <c r="A266" s="9">
        <v>37803</v>
      </c>
      <c r="B266" s="8">
        <v>5296.9</v>
      </c>
      <c r="C266" s="8">
        <v>2675.1</v>
      </c>
      <c r="D266" s="8">
        <v>1130.0999999999999</v>
      </c>
      <c r="E266" s="8">
        <v>1182</v>
      </c>
      <c r="F266" s="8">
        <v>2021.9</v>
      </c>
      <c r="G266" s="8">
        <v>1699.4</v>
      </c>
      <c r="H266" s="8">
        <v>14005.4</v>
      </c>
      <c r="I266" s="8">
        <v>5335.5</v>
      </c>
      <c r="J266" s="8">
        <v>2729.5</v>
      </c>
      <c r="K266" s="8">
        <v>1190.5</v>
      </c>
      <c r="L266" s="8">
        <v>1278.5999999999999</v>
      </c>
      <c r="M266" s="8">
        <v>2078.5</v>
      </c>
      <c r="N266" s="8">
        <v>1691.9</v>
      </c>
      <c r="O266" s="8">
        <v>14304.5</v>
      </c>
      <c r="P266" s="8">
        <v>5317.5</v>
      </c>
      <c r="Q266" s="8">
        <v>2716.1</v>
      </c>
      <c r="R266" s="8">
        <v>1193.5999999999999</v>
      </c>
      <c r="S266" s="8">
        <v>1292.5</v>
      </c>
      <c r="T266" s="8">
        <v>2075.1999999999998</v>
      </c>
      <c r="U266" s="8">
        <v>1692.6</v>
      </c>
      <c r="V266" s="8">
        <v>14288.3</v>
      </c>
    </row>
    <row r="267" spans="1:22" x14ac:dyDescent="0.15">
      <c r="A267" s="9">
        <v>37834</v>
      </c>
      <c r="B267" s="8">
        <v>5286.8</v>
      </c>
      <c r="C267" s="8">
        <v>2665.2</v>
      </c>
      <c r="D267" s="8">
        <v>1097.2</v>
      </c>
      <c r="E267" s="8">
        <v>1101.2</v>
      </c>
      <c r="F267" s="8">
        <v>2045.1</v>
      </c>
      <c r="G267" s="8">
        <v>1737.8</v>
      </c>
      <c r="H267" s="8">
        <v>13933.3</v>
      </c>
      <c r="I267" s="8">
        <v>5335.8</v>
      </c>
      <c r="J267" s="8">
        <v>2735</v>
      </c>
      <c r="K267" s="8">
        <v>1196.2</v>
      </c>
      <c r="L267" s="8">
        <v>1295.5999999999999</v>
      </c>
      <c r="M267" s="8">
        <v>2102</v>
      </c>
      <c r="N267" s="8">
        <v>1732</v>
      </c>
      <c r="O267" s="8">
        <v>14396.6</v>
      </c>
      <c r="P267" s="8">
        <v>5345</v>
      </c>
      <c r="Q267" s="8">
        <v>2744.5</v>
      </c>
      <c r="R267" s="8">
        <v>1203.2</v>
      </c>
      <c r="S267" s="8">
        <v>1301.0999999999999</v>
      </c>
      <c r="T267" s="8">
        <v>2106.9</v>
      </c>
      <c r="U267" s="8">
        <v>1724.4</v>
      </c>
      <c r="V267" s="8">
        <v>14430.3</v>
      </c>
    </row>
    <row r="268" spans="1:22" x14ac:dyDescent="0.15">
      <c r="A268" s="9">
        <v>37865</v>
      </c>
      <c r="B268" s="8">
        <v>5192.1000000000004</v>
      </c>
      <c r="C268" s="8">
        <v>2726.7</v>
      </c>
      <c r="D268" s="8">
        <v>1166.3</v>
      </c>
      <c r="E268" s="8">
        <v>1198.2</v>
      </c>
      <c r="F268" s="8">
        <v>2063.1999999999998</v>
      </c>
      <c r="G268" s="8">
        <v>1709.4</v>
      </c>
      <c r="H268" s="8">
        <v>14055.9</v>
      </c>
      <c r="I268" s="8">
        <v>5386.9</v>
      </c>
      <c r="J268" s="8">
        <v>2785.7</v>
      </c>
      <c r="K268" s="8">
        <v>1209.3</v>
      </c>
      <c r="L268" s="8">
        <v>1311.8</v>
      </c>
      <c r="M268" s="8">
        <v>2134.1999999999998</v>
      </c>
      <c r="N268" s="8">
        <v>1750.8</v>
      </c>
      <c r="O268" s="8">
        <v>14578.7</v>
      </c>
      <c r="P268" s="8">
        <v>5380</v>
      </c>
      <c r="Q268" s="8">
        <v>2765.6</v>
      </c>
      <c r="R268" s="8">
        <v>1215</v>
      </c>
      <c r="S268" s="8">
        <v>1311</v>
      </c>
      <c r="T268" s="8">
        <v>2132.4</v>
      </c>
      <c r="U268" s="8">
        <v>1757.2</v>
      </c>
      <c r="V268" s="8">
        <v>14576</v>
      </c>
    </row>
    <row r="269" spans="1:22" x14ac:dyDescent="0.15">
      <c r="A269" s="9">
        <v>37895</v>
      </c>
      <c r="B269" s="8">
        <v>5583.9</v>
      </c>
      <c r="C269" s="8">
        <v>2903.8</v>
      </c>
      <c r="D269" s="8">
        <v>1270.2</v>
      </c>
      <c r="E269" s="8">
        <v>1316.1</v>
      </c>
      <c r="F269" s="8">
        <v>2236.1999999999998</v>
      </c>
      <c r="G269" s="8">
        <v>1878.4</v>
      </c>
      <c r="H269" s="8">
        <v>15188.7</v>
      </c>
      <c r="I269" s="8">
        <v>5402.7</v>
      </c>
      <c r="J269" s="8">
        <v>2783.4</v>
      </c>
      <c r="K269" s="8">
        <v>1232.0999999999999</v>
      </c>
      <c r="L269" s="8">
        <v>1336.5</v>
      </c>
      <c r="M269" s="8">
        <v>2188.8000000000002</v>
      </c>
      <c r="N269" s="8">
        <v>1790.3</v>
      </c>
      <c r="O269" s="8">
        <v>14733.9</v>
      </c>
      <c r="P269" s="8">
        <v>5424.2</v>
      </c>
      <c r="Q269" s="8">
        <v>2779.2</v>
      </c>
      <c r="R269" s="8">
        <v>1229.5999999999999</v>
      </c>
      <c r="S269" s="8">
        <v>1319.7</v>
      </c>
      <c r="T269" s="8">
        <v>2188.3000000000002</v>
      </c>
      <c r="U269" s="8">
        <v>1790.4</v>
      </c>
      <c r="V269" s="8">
        <v>14716.8</v>
      </c>
    </row>
    <row r="270" spans="1:22" x14ac:dyDescent="0.15">
      <c r="A270" s="9">
        <v>37926</v>
      </c>
      <c r="B270" s="8">
        <v>5498.8</v>
      </c>
      <c r="C270" s="8">
        <v>2948.3</v>
      </c>
      <c r="D270" s="8">
        <v>1319.3</v>
      </c>
      <c r="E270" s="8">
        <v>1528.2</v>
      </c>
      <c r="F270" s="8">
        <v>2322</v>
      </c>
      <c r="G270" s="8">
        <v>1838.4</v>
      </c>
      <c r="H270" s="8">
        <v>15455</v>
      </c>
      <c r="I270" s="8">
        <v>5483.1</v>
      </c>
      <c r="J270" s="8">
        <v>2784.6</v>
      </c>
      <c r="K270" s="8">
        <v>1252.0999999999999</v>
      </c>
      <c r="L270" s="8">
        <v>1342.2</v>
      </c>
      <c r="M270" s="8">
        <v>2228.9</v>
      </c>
      <c r="N270" s="8">
        <v>1825.1</v>
      </c>
      <c r="O270" s="8">
        <v>14916.1</v>
      </c>
      <c r="P270" s="8">
        <v>5468.4</v>
      </c>
      <c r="Q270" s="8">
        <v>2794.9</v>
      </c>
      <c r="R270" s="8">
        <v>1239.4000000000001</v>
      </c>
      <c r="S270" s="8">
        <v>1324.9</v>
      </c>
      <c r="T270" s="8">
        <v>2196.1999999999998</v>
      </c>
      <c r="U270" s="8">
        <v>1821.7</v>
      </c>
      <c r="V270" s="8">
        <v>14839.7</v>
      </c>
    </row>
    <row r="271" spans="1:22" x14ac:dyDescent="0.15">
      <c r="A271" s="9">
        <v>37956</v>
      </c>
      <c r="B271" s="8">
        <v>6269.7</v>
      </c>
      <c r="C271" s="8">
        <v>3650.5</v>
      </c>
      <c r="D271" s="8">
        <v>1854.6</v>
      </c>
      <c r="E271" s="8">
        <v>2424.1999999999998</v>
      </c>
      <c r="F271" s="8">
        <v>3137.1</v>
      </c>
      <c r="G271" s="8">
        <v>2048.3000000000002</v>
      </c>
      <c r="H271" s="8">
        <v>19384.400000000001</v>
      </c>
      <c r="I271" s="8">
        <v>5499.6</v>
      </c>
      <c r="J271" s="8">
        <v>2781.4</v>
      </c>
      <c r="K271" s="8">
        <v>1251.7</v>
      </c>
      <c r="L271" s="8">
        <v>1306.7</v>
      </c>
      <c r="M271" s="8">
        <v>2199.4</v>
      </c>
      <c r="N271" s="8">
        <v>1846.8</v>
      </c>
      <c r="O271" s="8">
        <v>14885.7</v>
      </c>
      <c r="P271" s="8">
        <v>5514</v>
      </c>
      <c r="Q271" s="8">
        <v>2807.8</v>
      </c>
      <c r="R271" s="8">
        <v>1244.7</v>
      </c>
      <c r="S271" s="8">
        <v>1326.7</v>
      </c>
      <c r="T271" s="8">
        <v>2193.1999999999998</v>
      </c>
      <c r="U271" s="8">
        <v>1848.4</v>
      </c>
      <c r="V271" s="8">
        <v>14934</v>
      </c>
    </row>
    <row r="272" spans="1:22" x14ac:dyDescent="0.15">
      <c r="A272" s="9">
        <v>37987</v>
      </c>
      <c r="B272" s="8">
        <v>5769.9</v>
      </c>
      <c r="C272" s="8">
        <v>2829.9</v>
      </c>
      <c r="D272" s="8">
        <v>1217</v>
      </c>
      <c r="E272" s="8">
        <v>1182.9000000000001</v>
      </c>
      <c r="F272" s="8">
        <v>2039.8</v>
      </c>
      <c r="G272" s="8">
        <v>1895.2</v>
      </c>
      <c r="H272" s="8">
        <v>14934.7</v>
      </c>
      <c r="I272" s="8">
        <v>5587.5</v>
      </c>
      <c r="J272" s="8">
        <v>2831.4</v>
      </c>
      <c r="K272" s="8">
        <v>1248.8</v>
      </c>
      <c r="L272" s="8">
        <v>1324</v>
      </c>
      <c r="M272" s="8">
        <v>2165.8000000000002</v>
      </c>
      <c r="N272" s="8">
        <v>1871.9</v>
      </c>
      <c r="O272" s="8">
        <v>15029.5</v>
      </c>
      <c r="P272" s="8">
        <v>5552.4</v>
      </c>
      <c r="Q272" s="8">
        <v>2819.8</v>
      </c>
      <c r="R272" s="8">
        <v>1247.5</v>
      </c>
      <c r="S272" s="8">
        <v>1328</v>
      </c>
      <c r="T272" s="8">
        <v>2187.5</v>
      </c>
      <c r="U272" s="8">
        <v>1867.4</v>
      </c>
      <c r="V272" s="8">
        <v>15003.9</v>
      </c>
    </row>
    <row r="273" spans="1:22" x14ac:dyDescent="0.15">
      <c r="A273" s="9">
        <v>38018</v>
      </c>
      <c r="B273" s="8">
        <v>5311.8</v>
      </c>
      <c r="C273" s="8">
        <v>2545.4</v>
      </c>
      <c r="D273" s="8">
        <v>1033.0999999999999</v>
      </c>
      <c r="E273" s="8">
        <v>989.8</v>
      </c>
      <c r="F273" s="8">
        <v>1942.6</v>
      </c>
      <c r="G273" s="8">
        <v>1765.8</v>
      </c>
      <c r="H273" s="8">
        <v>13588.5</v>
      </c>
      <c r="I273" s="8">
        <v>5589.2</v>
      </c>
      <c r="J273" s="8">
        <v>2825.9</v>
      </c>
      <c r="K273" s="8">
        <v>1250.9000000000001</v>
      </c>
      <c r="L273" s="8">
        <v>1338.3</v>
      </c>
      <c r="M273" s="8">
        <v>2151</v>
      </c>
      <c r="N273" s="8">
        <v>1883.6</v>
      </c>
      <c r="O273" s="8">
        <v>15038.8</v>
      </c>
      <c r="P273" s="8">
        <v>5590.6</v>
      </c>
      <c r="Q273" s="8">
        <v>2830.9</v>
      </c>
      <c r="R273" s="8">
        <v>1249.8</v>
      </c>
      <c r="S273" s="8">
        <v>1332</v>
      </c>
      <c r="T273" s="8">
        <v>2180.4</v>
      </c>
      <c r="U273" s="8">
        <v>1878.5</v>
      </c>
      <c r="V273" s="8">
        <v>15062.8</v>
      </c>
    </row>
    <row r="274" spans="1:22" x14ac:dyDescent="0.15">
      <c r="A274" s="9">
        <v>38047</v>
      </c>
      <c r="B274" s="8">
        <v>5602.4</v>
      </c>
      <c r="C274" s="8">
        <v>2746.3</v>
      </c>
      <c r="D274" s="8">
        <v>1130.9000000000001</v>
      </c>
      <c r="E274" s="8">
        <v>1131.4000000000001</v>
      </c>
      <c r="F274" s="8">
        <v>2117.1</v>
      </c>
      <c r="G274" s="8">
        <v>1872.8</v>
      </c>
      <c r="H274" s="8">
        <v>14600.9</v>
      </c>
      <c r="I274" s="8">
        <v>5604</v>
      </c>
      <c r="J274" s="8">
        <v>2891.6</v>
      </c>
      <c r="K274" s="8">
        <v>1227.4000000000001</v>
      </c>
      <c r="L274" s="8">
        <v>1327.1</v>
      </c>
      <c r="M274" s="8">
        <v>2216</v>
      </c>
      <c r="N274" s="8">
        <v>1883.2</v>
      </c>
      <c r="O274" s="8">
        <v>15149.1</v>
      </c>
      <c r="P274" s="8">
        <v>5623.3</v>
      </c>
      <c r="Q274" s="8">
        <v>2838.7</v>
      </c>
      <c r="R274" s="8">
        <v>1248.5999999999999</v>
      </c>
      <c r="S274" s="8">
        <v>1340.5</v>
      </c>
      <c r="T274" s="8">
        <v>2179.8000000000002</v>
      </c>
      <c r="U274" s="8">
        <v>1880.5</v>
      </c>
      <c r="V274" s="8">
        <v>15114.6</v>
      </c>
    </row>
    <row r="275" spans="1:22" x14ac:dyDescent="0.15">
      <c r="A275" s="9">
        <v>38078</v>
      </c>
      <c r="B275" s="8">
        <v>5627.7</v>
      </c>
      <c r="C275" s="8">
        <v>2569.1999999999998</v>
      </c>
      <c r="D275" s="8">
        <v>1190.7</v>
      </c>
      <c r="E275" s="8">
        <v>1277.0999999999999</v>
      </c>
      <c r="F275" s="8">
        <v>2013.5</v>
      </c>
      <c r="G275" s="8">
        <v>1873.7</v>
      </c>
      <c r="H275" s="8">
        <v>14552</v>
      </c>
      <c r="I275" s="8">
        <v>5636.9</v>
      </c>
      <c r="J275" s="8">
        <v>2819.9</v>
      </c>
      <c r="K275" s="8">
        <v>1254.7</v>
      </c>
      <c r="L275" s="8">
        <v>1354.5</v>
      </c>
      <c r="M275" s="8">
        <v>2169.1</v>
      </c>
      <c r="N275" s="8">
        <v>1880.9</v>
      </c>
      <c r="O275" s="8">
        <v>15116</v>
      </c>
      <c r="P275" s="8">
        <v>5651.5</v>
      </c>
      <c r="Q275" s="8">
        <v>2844.1</v>
      </c>
      <c r="R275" s="8">
        <v>1259.8</v>
      </c>
      <c r="S275" s="8">
        <v>1353.2</v>
      </c>
      <c r="T275" s="8">
        <v>2186.6999999999998</v>
      </c>
      <c r="U275" s="8">
        <v>1878.1</v>
      </c>
      <c r="V275" s="8">
        <v>15170.9</v>
      </c>
    </row>
    <row r="276" spans="1:22" x14ac:dyDescent="0.15">
      <c r="A276" s="9">
        <v>38108</v>
      </c>
      <c r="B276" s="8">
        <v>5542.3</v>
      </c>
      <c r="C276" s="8">
        <v>2675.2</v>
      </c>
      <c r="D276" s="8">
        <v>1265.5999999999999</v>
      </c>
      <c r="E276" s="8">
        <v>1280.3</v>
      </c>
      <c r="F276" s="8">
        <v>2075.5</v>
      </c>
      <c r="G276" s="8">
        <v>1846.2</v>
      </c>
      <c r="H276" s="8">
        <v>14685.1</v>
      </c>
      <c r="I276" s="8">
        <v>5677</v>
      </c>
      <c r="J276" s="8">
        <v>2827</v>
      </c>
      <c r="K276" s="8">
        <v>1272.3</v>
      </c>
      <c r="L276" s="8">
        <v>1371.4</v>
      </c>
      <c r="M276" s="8">
        <v>2190.5</v>
      </c>
      <c r="N276" s="8">
        <v>1870.1</v>
      </c>
      <c r="O276" s="8">
        <v>15208.3</v>
      </c>
      <c r="P276" s="8">
        <v>5678.5</v>
      </c>
      <c r="Q276" s="8">
        <v>2848.4</v>
      </c>
      <c r="R276" s="8">
        <v>1272</v>
      </c>
      <c r="S276" s="8">
        <v>1367.9</v>
      </c>
      <c r="T276" s="8">
        <v>2200.3000000000002</v>
      </c>
      <c r="U276" s="8">
        <v>1872.9</v>
      </c>
      <c r="V276" s="8">
        <v>15236.8</v>
      </c>
    </row>
    <row r="277" spans="1:22" x14ac:dyDescent="0.15">
      <c r="A277" s="9">
        <v>38139</v>
      </c>
      <c r="B277" s="8">
        <v>5406.3</v>
      </c>
      <c r="C277" s="8">
        <v>2793.8</v>
      </c>
      <c r="D277" s="8">
        <v>1261.2</v>
      </c>
      <c r="E277" s="8">
        <v>1384.1</v>
      </c>
      <c r="F277" s="8">
        <v>2075</v>
      </c>
      <c r="G277" s="8">
        <v>1758.5</v>
      </c>
      <c r="H277" s="8">
        <v>14679</v>
      </c>
      <c r="I277" s="8">
        <v>5748.8</v>
      </c>
      <c r="J277" s="8">
        <v>2855.2</v>
      </c>
      <c r="K277" s="8">
        <v>1300.2</v>
      </c>
      <c r="L277" s="8">
        <v>1383.1</v>
      </c>
      <c r="M277" s="8">
        <v>2222.6999999999998</v>
      </c>
      <c r="N277" s="8">
        <v>1857</v>
      </c>
      <c r="O277" s="8">
        <v>15367</v>
      </c>
      <c r="P277" s="8">
        <v>5696.9</v>
      </c>
      <c r="Q277" s="8">
        <v>2857.2</v>
      </c>
      <c r="R277" s="8">
        <v>1284.5</v>
      </c>
      <c r="S277" s="8">
        <v>1382</v>
      </c>
      <c r="T277" s="8">
        <v>2216.6</v>
      </c>
      <c r="U277" s="8">
        <v>1867.6</v>
      </c>
      <c r="V277" s="8">
        <v>15308.1</v>
      </c>
    </row>
    <row r="278" spans="1:22" x14ac:dyDescent="0.15">
      <c r="A278" s="9">
        <v>38169</v>
      </c>
      <c r="B278" s="8">
        <v>5722.7</v>
      </c>
      <c r="C278" s="8">
        <v>2843.3</v>
      </c>
      <c r="D278" s="8">
        <v>1233.3</v>
      </c>
      <c r="E278" s="8">
        <v>1305.9000000000001</v>
      </c>
      <c r="F278" s="8">
        <v>2171.6</v>
      </c>
      <c r="G278" s="8">
        <v>1878.2</v>
      </c>
      <c r="H278" s="8">
        <v>15154.9</v>
      </c>
      <c r="I278" s="8">
        <v>5691.2</v>
      </c>
      <c r="J278" s="8">
        <v>2884.8</v>
      </c>
      <c r="K278" s="8">
        <v>1294.0999999999999</v>
      </c>
      <c r="L278" s="8">
        <v>1395.5</v>
      </c>
      <c r="M278" s="8">
        <v>2235.8000000000002</v>
      </c>
      <c r="N278" s="8">
        <v>1853.9</v>
      </c>
      <c r="O278" s="8">
        <v>15355.3</v>
      </c>
      <c r="P278" s="8">
        <v>5711.4</v>
      </c>
      <c r="Q278" s="8">
        <v>2874.6</v>
      </c>
      <c r="R278" s="8">
        <v>1291.4000000000001</v>
      </c>
      <c r="S278" s="8">
        <v>1391.1</v>
      </c>
      <c r="T278" s="8">
        <v>2230</v>
      </c>
      <c r="U278" s="8">
        <v>1863.8</v>
      </c>
      <c r="V278" s="8">
        <v>15375.1</v>
      </c>
    </row>
    <row r="279" spans="1:22" x14ac:dyDescent="0.15">
      <c r="A279" s="9">
        <v>38200</v>
      </c>
      <c r="B279" s="8">
        <v>5569.3</v>
      </c>
      <c r="C279" s="8">
        <v>2798.1</v>
      </c>
      <c r="D279" s="8">
        <v>1185</v>
      </c>
      <c r="E279" s="8">
        <v>1166.8</v>
      </c>
      <c r="F279" s="8">
        <v>2162.3000000000002</v>
      </c>
      <c r="G279" s="8">
        <v>1850.1</v>
      </c>
      <c r="H279" s="8">
        <v>14731.7</v>
      </c>
      <c r="I279" s="8">
        <v>5704.7</v>
      </c>
      <c r="J279" s="8">
        <v>2875.2</v>
      </c>
      <c r="K279" s="8">
        <v>1290.5</v>
      </c>
      <c r="L279" s="8">
        <v>1389.5</v>
      </c>
      <c r="M279" s="8">
        <v>2225.3000000000002</v>
      </c>
      <c r="N279" s="8">
        <v>1862.3</v>
      </c>
      <c r="O279" s="8">
        <v>15347.6</v>
      </c>
      <c r="P279" s="8">
        <v>5720.5</v>
      </c>
      <c r="Q279" s="8">
        <v>2896.8</v>
      </c>
      <c r="R279" s="8">
        <v>1294.5999999999999</v>
      </c>
      <c r="S279" s="8">
        <v>1393.7</v>
      </c>
      <c r="T279" s="8">
        <v>2244.3000000000002</v>
      </c>
      <c r="U279" s="8">
        <v>1858.3</v>
      </c>
      <c r="V279" s="8">
        <v>15426.5</v>
      </c>
    </row>
    <row r="280" spans="1:22" x14ac:dyDescent="0.15">
      <c r="A280" s="9">
        <v>38231</v>
      </c>
      <c r="B280" s="8">
        <v>5622.8</v>
      </c>
      <c r="C280" s="8">
        <v>2848</v>
      </c>
      <c r="D280" s="8">
        <v>1272.5</v>
      </c>
      <c r="E280" s="8">
        <v>1317.9</v>
      </c>
      <c r="F280" s="8">
        <v>2221.4</v>
      </c>
      <c r="G280" s="8">
        <v>1921.5</v>
      </c>
      <c r="H280" s="8">
        <v>15204.1</v>
      </c>
      <c r="I280" s="8">
        <v>5740.3</v>
      </c>
      <c r="J280" s="8">
        <v>2924.9</v>
      </c>
      <c r="K280" s="8">
        <v>1308.5</v>
      </c>
      <c r="L280" s="8">
        <v>1408.7</v>
      </c>
      <c r="M280" s="8">
        <v>2282.4</v>
      </c>
      <c r="N280" s="8">
        <v>1949.1</v>
      </c>
      <c r="O280" s="8">
        <v>15613.8</v>
      </c>
      <c r="P280" s="8">
        <v>5728.7</v>
      </c>
      <c r="Q280" s="8">
        <v>2922.5</v>
      </c>
      <c r="R280" s="8">
        <v>1294.9000000000001</v>
      </c>
      <c r="S280" s="8">
        <v>1390.7</v>
      </c>
      <c r="T280" s="8">
        <v>2251.5</v>
      </c>
      <c r="U280" s="8">
        <v>1852.2</v>
      </c>
      <c r="V280" s="8">
        <v>15455.9</v>
      </c>
    </row>
    <row r="281" spans="1:22" x14ac:dyDescent="0.15">
      <c r="A281" s="9">
        <v>38261</v>
      </c>
      <c r="B281" s="8">
        <v>5819.7</v>
      </c>
      <c r="C281" s="8">
        <v>3078.3</v>
      </c>
      <c r="D281" s="8">
        <v>1324.9</v>
      </c>
      <c r="E281" s="8">
        <v>1358.3</v>
      </c>
      <c r="F281" s="8">
        <v>2273.3000000000002</v>
      </c>
      <c r="G281" s="8">
        <v>1914.5</v>
      </c>
      <c r="H281" s="8">
        <v>15769.1</v>
      </c>
      <c r="I281" s="8">
        <v>5702.9</v>
      </c>
      <c r="J281" s="8">
        <v>2970.6</v>
      </c>
      <c r="K281" s="8">
        <v>1288.5</v>
      </c>
      <c r="L281" s="8">
        <v>1392.8</v>
      </c>
      <c r="M281" s="8">
        <v>2263.6</v>
      </c>
      <c r="N281" s="8">
        <v>1840</v>
      </c>
      <c r="O281" s="8">
        <v>15458.5</v>
      </c>
      <c r="P281" s="8">
        <v>5727.3</v>
      </c>
      <c r="Q281" s="8">
        <v>2945.3</v>
      </c>
      <c r="R281" s="8">
        <v>1295.3</v>
      </c>
      <c r="S281" s="8">
        <v>1388.3</v>
      </c>
      <c r="T281" s="8">
        <v>2253</v>
      </c>
      <c r="U281" s="8">
        <v>1841.8</v>
      </c>
      <c r="V281" s="8">
        <v>15470.3</v>
      </c>
    </row>
    <row r="282" spans="1:22" x14ac:dyDescent="0.15">
      <c r="A282" s="9">
        <v>38292</v>
      </c>
      <c r="B282" s="8">
        <v>5753.4</v>
      </c>
      <c r="C282" s="8">
        <v>3185.1</v>
      </c>
      <c r="D282" s="8">
        <v>1349.9</v>
      </c>
      <c r="E282" s="8">
        <v>1536.7</v>
      </c>
      <c r="F282" s="8">
        <v>2352.9</v>
      </c>
      <c r="G282" s="8">
        <v>1839.9</v>
      </c>
      <c r="H282" s="8">
        <v>16017.9</v>
      </c>
      <c r="I282" s="8">
        <v>5745.3</v>
      </c>
      <c r="J282" s="8">
        <v>2976.6</v>
      </c>
      <c r="K282" s="8">
        <v>1280.2</v>
      </c>
      <c r="L282" s="8">
        <v>1378.3</v>
      </c>
      <c r="M282" s="8">
        <v>2232.8000000000002</v>
      </c>
      <c r="N282" s="8">
        <v>1821.8</v>
      </c>
      <c r="O282" s="8">
        <v>15434.9</v>
      </c>
      <c r="P282" s="8">
        <v>5731.6</v>
      </c>
      <c r="Q282" s="8">
        <v>2961.5</v>
      </c>
      <c r="R282" s="8">
        <v>1297.4000000000001</v>
      </c>
      <c r="S282" s="8">
        <v>1389.1</v>
      </c>
      <c r="T282" s="8">
        <v>2250.6999999999998</v>
      </c>
      <c r="U282" s="8">
        <v>1831</v>
      </c>
      <c r="V282" s="8">
        <v>15473.7</v>
      </c>
    </row>
    <row r="283" spans="1:22" x14ac:dyDescent="0.15">
      <c r="A283" s="9">
        <v>38322</v>
      </c>
      <c r="B283" s="8">
        <v>6753.1</v>
      </c>
      <c r="C283" s="8">
        <v>3877.3</v>
      </c>
      <c r="D283" s="8">
        <v>1915.2</v>
      </c>
      <c r="E283" s="8">
        <v>2500.8000000000002</v>
      </c>
      <c r="F283" s="8">
        <v>3209.8</v>
      </c>
      <c r="G283" s="8">
        <v>2041.9</v>
      </c>
      <c r="H283" s="8">
        <v>20298.099999999999</v>
      </c>
      <c r="I283" s="8">
        <v>5802.4</v>
      </c>
      <c r="J283" s="8">
        <v>2940.3</v>
      </c>
      <c r="K283" s="8">
        <v>1294.3</v>
      </c>
      <c r="L283" s="8">
        <v>1342.1</v>
      </c>
      <c r="M283" s="8">
        <v>2232.8000000000002</v>
      </c>
      <c r="N283" s="8">
        <v>1816.9</v>
      </c>
      <c r="O283" s="8">
        <v>15428.8</v>
      </c>
      <c r="P283" s="8">
        <v>5733.3</v>
      </c>
      <c r="Q283" s="8">
        <v>2975.8</v>
      </c>
      <c r="R283" s="8">
        <v>1300.7</v>
      </c>
      <c r="S283" s="8">
        <v>1391.6</v>
      </c>
      <c r="T283" s="8">
        <v>2245.5</v>
      </c>
      <c r="U283" s="8">
        <v>1820</v>
      </c>
      <c r="V283" s="8">
        <v>15471.6</v>
      </c>
    </row>
    <row r="284" spans="1:22" x14ac:dyDescent="0.15">
      <c r="A284" s="9">
        <v>38353</v>
      </c>
      <c r="B284" s="8">
        <v>5710.3</v>
      </c>
      <c r="C284" s="8">
        <v>2963.1</v>
      </c>
      <c r="D284" s="8">
        <v>1273.7</v>
      </c>
      <c r="E284" s="8">
        <v>1246.3</v>
      </c>
      <c r="F284" s="8">
        <v>2074.6999999999998</v>
      </c>
      <c r="G284" s="8">
        <v>1798.7</v>
      </c>
      <c r="H284" s="8">
        <v>15066.7</v>
      </c>
      <c r="I284" s="8">
        <v>5659.9</v>
      </c>
      <c r="J284" s="8">
        <v>2996.2</v>
      </c>
      <c r="K284" s="8">
        <v>1327.4</v>
      </c>
      <c r="L284" s="8">
        <v>1417.6</v>
      </c>
      <c r="M284" s="8">
        <v>2235.9</v>
      </c>
      <c r="N284" s="8">
        <v>1802</v>
      </c>
      <c r="O284" s="8">
        <v>15439</v>
      </c>
      <c r="P284" s="8">
        <v>5745</v>
      </c>
      <c r="Q284" s="8">
        <v>2985.5</v>
      </c>
      <c r="R284" s="8">
        <v>1306.9000000000001</v>
      </c>
      <c r="S284" s="8">
        <v>1394.5</v>
      </c>
      <c r="T284" s="8">
        <v>2236</v>
      </c>
      <c r="U284" s="8">
        <v>1812</v>
      </c>
      <c r="V284" s="8">
        <v>15471.9</v>
      </c>
    </row>
    <row r="285" spans="1:22" x14ac:dyDescent="0.15">
      <c r="A285" s="9">
        <v>38384</v>
      </c>
      <c r="B285" s="8">
        <v>5336.4</v>
      </c>
      <c r="C285" s="8">
        <v>2622.9</v>
      </c>
      <c r="D285" s="8">
        <v>1055.5999999999999</v>
      </c>
      <c r="E285" s="8">
        <v>1037.3</v>
      </c>
      <c r="F285" s="8">
        <v>1979.9</v>
      </c>
      <c r="G285" s="8">
        <v>1661.2</v>
      </c>
      <c r="H285" s="8">
        <v>13693.5</v>
      </c>
      <c r="I285" s="8">
        <v>5764.6</v>
      </c>
      <c r="J285" s="8">
        <v>3001.2</v>
      </c>
      <c r="K285" s="8">
        <v>1309.9000000000001</v>
      </c>
      <c r="L285" s="8">
        <v>1428</v>
      </c>
      <c r="M285" s="8">
        <v>2249.4</v>
      </c>
      <c r="N285" s="8">
        <v>1830.5</v>
      </c>
      <c r="O285" s="8">
        <v>15583.4</v>
      </c>
      <c r="P285" s="8">
        <v>5754.9</v>
      </c>
      <c r="Q285" s="8">
        <v>2992.6</v>
      </c>
      <c r="R285" s="8">
        <v>1311.6</v>
      </c>
      <c r="S285" s="8">
        <v>1396.6</v>
      </c>
      <c r="T285" s="8">
        <v>2232.3000000000002</v>
      </c>
      <c r="U285" s="8">
        <v>1809.5</v>
      </c>
      <c r="V285" s="8">
        <v>15480.9</v>
      </c>
    </row>
    <row r="286" spans="1:22" x14ac:dyDescent="0.15">
      <c r="A286" s="9">
        <v>38412</v>
      </c>
      <c r="B286" s="8">
        <v>5936.5</v>
      </c>
      <c r="C286" s="8">
        <v>2782.9</v>
      </c>
      <c r="D286" s="8">
        <v>1210.4000000000001</v>
      </c>
      <c r="E286" s="8">
        <v>1300.8</v>
      </c>
      <c r="F286" s="8">
        <v>2117.9</v>
      </c>
      <c r="G286" s="8">
        <v>1780.3</v>
      </c>
      <c r="H286" s="8">
        <v>15128.9</v>
      </c>
      <c r="I286" s="8">
        <v>5767.3</v>
      </c>
      <c r="J286" s="8">
        <v>2998.2</v>
      </c>
      <c r="K286" s="8">
        <v>1322.9</v>
      </c>
      <c r="L286" s="8">
        <v>1434.6</v>
      </c>
      <c r="M286" s="8">
        <v>2217.8000000000002</v>
      </c>
      <c r="N286" s="8">
        <v>1798.3</v>
      </c>
      <c r="O286" s="8">
        <v>15539.1</v>
      </c>
      <c r="P286" s="8">
        <v>5775.5</v>
      </c>
      <c r="Q286" s="8">
        <v>3000.8</v>
      </c>
      <c r="R286" s="8">
        <v>1318.6</v>
      </c>
      <c r="S286" s="8">
        <v>1397.5</v>
      </c>
      <c r="T286" s="8">
        <v>2227.6999999999998</v>
      </c>
      <c r="U286" s="8">
        <v>1812.2</v>
      </c>
      <c r="V286" s="8">
        <v>15506.8</v>
      </c>
    </row>
    <row r="287" spans="1:22" x14ac:dyDescent="0.15">
      <c r="A287" s="9">
        <v>38443</v>
      </c>
      <c r="B287" s="8">
        <v>5710.9</v>
      </c>
      <c r="C287" s="8">
        <v>2787.4</v>
      </c>
      <c r="D287" s="8">
        <v>1221.3</v>
      </c>
      <c r="E287" s="8">
        <v>1153.7</v>
      </c>
      <c r="F287" s="8">
        <v>2060.3000000000002</v>
      </c>
      <c r="G287" s="8">
        <v>1809</v>
      </c>
      <c r="H287" s="8">
        <v>14742.6</v>
      </c>
      <c r="I287" s="8">
        <v>5844.7</v>
      </c>
      <c r="J287" s="8">
        <v>2994.1</v>
      </c>
      <c r="K287" s="8">
        <v>1270.3</v>
      </c>
      <c r="L287" s="8">
        <v>1264.5</v>
      </c>
      <c r="M287" s="8">
        <v>2221.5</v>
      </c>
      <c r="N287" s="8">
        <v>1811.8</v>
      </c>
      <c r="O287" s="8">
        <v>15406.9</v>
      </c>
      <c r="P287" s="8">
        <v>5807.8</v>
      </c>
      <c r="Q287" s="8">
        <v>3010.3</v>
      </c>
      <c r="R287" s="8">
        <v>1321.9</v>
      </c>
      <c r="S287" s="8">
        <v>1398.1</v>
      </c>
      <c r="T287" s="8">
        <v>2220</v>
      </c>
      <c r="U287" s="8">
        <v>1816.4</v>
      </c>
      <c r="V287" s="8">
        <v>15550.1</v>
      </c>
    </row>
    <row r="288" spans="1:22" x14ac:dyDescent="0.15">
      <c r="A288" s="9">
        <v>38473</v>
      </c>
      <c r="B288" s="8">
        <v>5661</v>
      </c>
      <c r="C288" s="8">
        <v>2879.3</v>
      </c>
      <c r="D288" s="8">
        <v>1308.9000000000001</v>
      </c>
      <c r="E288" s="8">
        <v>1264.2</v>
      </c>
      <c r="F288" s="8">
        <v>2098.1999999999998</v>
      </c>
      <c r="G288" s="8">
        <v>1788.9</v>
      </c>
      <c r="H288" s="8">
        <v>15000.6</v>
      </c>
      <c r="I288" s="8">
        <v>5828.2</v>
      </c>
      <c r="J288" s="8">
        <v>3030.3</v>
      </c>
      <c r="K288" s="8">
        <v>1320.4</v>
      </c>
      <c r="L288" s="8">
        <v>1385.6</v>
      </c>
      <c r="M288" s="8">
        <v>2206.6</v>
      </c>
      <c r="N288" s="8">
        <v>1820.4</v>
      </c>
      <c r="O288" s="8">
        <v>15591.4</v>
      </c>
      <c r="P288" s="8">
        <v>5851.8</v>
      </c>
      <c r="Q288" s="8">
        <v>3020.3</v>
      </c>
      <c r="R288" s="8">
        <v>1323.2</v>
      </c>
      <c r="S288" s="8">
        <v>1397.9</v>
      </c>
      <c r="T288" s="8">
        <v>2211</v>
      </c>
      <c r="U288" s="8">
        <v>1821.1</v>
      </c>
      <c r="V288" s="8">
        <v>15601.5</v>
      </c>
    </row>
    <row r="289" spans="1:22" x14ac:dyDescent="0.15">
      <c r="A289" s="9">
        <v>38504</v>
      </c>
      <c r="B289" s="8">
        <v>5582.8</v>
      </c>
      <c r="C289" s="8">
        <v>2969.3</v>
      </c>
      <c r="D289" s="8">
        <v>1310.0999999999999</v>
      </c>
      <c r="E289" s="8">
        <v>1454.2</v>
      </c>
      <c r="F289" s="8">
        <v>2074.5</v>
      </c>
      <c r="G289" s="8">
        <v>1768.9</v>
      </c>
      <c r="H289" s="8">
        <v>15159.8</v>
      </c>
      <c r="I289" s="8">
        <v>5876.9</v>
      </c>
      <c r="J289" s="8">
        <v>3031.2</v>
      </c>
      <c r="K289" s="8">
        <v>1343.1</v>
      </c>
      <c r="L289" s="8">
        <v>1420.7</v>
      </c>
      <c r="M289" s="8">
        <v>2213.6</v>
      </c>
      <c r="N289" s="8">
        <v>1846.8</v>
      </c>
      <c r="O289" s="8">
        <v>15732.3</v>
      </c>
      <c r="P289" s="8">
        <v>5899</v>
      </c>
      <c r="Q289" s="8">
        <v>3025.9</v>
      </c>
      <c r="R289" s="8">
        <v>1326.9</v>
      </c>
      <c r="S289" s="8">
        <v>1397.5</v>
      </c>
      <c r="T289" s="8">
        <v>2197</v>
      </c>
      <c r="U289" s="8">
        <v>1827.6</v>
      </c>
      <c r="V289" s="8">
        <v>15658.3</v>
      </c>
    </row>
    <row r="290" spans="1:22" x14ac:dyDescent="0.15">
      <c r="A290" s="9">
        <v>38534</v>
      </c>
      <c r="B290" s="8">
        <v>5888.5</v>
      </c>
      <c r="C290" s="8">
        <v>2964.4</v>
      </c>
      <c r="D290" s="8">
        <v>1237.2</v>
      </c>
      <c r="E290" s="8">
        <v>1290.0999999999999</v>
      </c>
      <c r="F290" s="8">
        <v>2090</v>
      </c>
      <c r="G290" s="8">
        <v>1869</v>
      </c>
      <c r="H290" s="8">
        <v>15339.3</v>
      </c>
      <c r="I290" s="8">
        <v>5942.7</v>
      </c>
      <c r="J290" s="8">
        <v>3022.2</v>
      </c>
      <c r="K290" s="8">
        <v>1310</v>
      </c>
      <c r="L290" s="8">
        <v>1401.1</v>
      </c>
      <c r="M290" s="8">
        <v>2177.5</v>
      </c>
      <c r="N290" s="8">
        <v>1852.1</v>
      </c>
      <c r="O290" s="8">
        <v>15705.7</v>
      </c>
      <c r="P290" s="8">
        <v>5945.6</v>
      </c>
      <c r="Q290" s="8">
        <v>3029.3</v>
      </c>
      <c r="R290" s="8">
        <v>1328.7</v>
      </c>
      <c r="S290" s="8">
        <v>1396.4</v>
      </c>
      <c r="T290" s="8">
        <v>2182.5</v>
      </c>
      <c r="U290" s="8">
        <v>1838.6</v>
      </c>
      <c r="V290" s="8">
        <v>15713.3</v>
      </c>
    </row>
    <row r="291" spans="1:22" x14ac:dyDescent="0.15">
      <c r="A291" s="9">
        <v>38565</v>
      </c>
      <c r="B291" s="8">
        <v>5929.6</v>
      </c>
      <c r="C291" s="8">
        <v>2984.4</v>
      </c>
      <c r="D291" s="8">
        <v>1235.8</v>
      </c>
      <c r="E291" s="8">
        <v>1210.7</v>
      </c>
      <c r="F291" s="8">
        <v>2125.1</v>
      </c>
      <c r="G291" s="8">
        <v>1813.4</v>
      </c>
      <c r="H291" s="8">
        <v>15299</v>
      </c>
      <c r="I291" s="8">
        <v>6022.5</v>
      </c>
      <c r="J291" s="8">
        <v>3053.4</v>
      </c>
      <c r="K291" s="8">
        <v>1336</v>
      </c>
      <c r="L291" s="8">
        <v>1410</v>
      </c>
      <c r="M291" s="8">
        <v>2175.1999999999998</v>
      </c>
      <c r="N291" s="8">
        <v>1813.5</v>
      </c>
      <c r="O291" s="8">
        <v>15810.6</v>
      </c>
      <c r="P291" s="8">
        <v>5981.2</v>
      </c>
      <c r="Q291" s="8">
        <v>3031.6</v>
      </c>
      <c r="R291" s="8">
        <v>1331.1</v>
      </c>
      <c r="S291" s="8">
        <v>1392.4</v>
      </c>
      <c r="T291" s="8">
        <v>2168</v>
      </c>
      <c r="U291" s="8">
        <v>1855.4</v>
      </c>
      <c r="V291" s="8">
        <v>15760.4</v>
      </c>
    </row>
    <row r="292" spans="1:22" x14ac:dyDescent="0.15">
      <c r="A292" s="9">
        <v>38596</v>
      </c>
      <c r="B292" s="8">
        <v>5931.4</v>
      </c>
      <c r="C292" s="8">
        <v>2971</v>
      </c>
      <c r="D292" s="8">
        <v>1315.5</v>
      </c>
      <c r="E292" s="8">
        <v>1277.8</v>
      </c>
      <c r="F292" s="8">
        <v>2094.3000000000002</v>
      </c>
      <c r="G292" s="8">
        <v>1845.8</v>
      </c>
      <c r="H292" s="8">
        <v>15436</v>
      </c>
      <c r="I292" s="8">
        <v>6028.8</v>
      </c>
      <c r="J292" s="8">
        <v>3028</v>
      </c>
      <c r="K292" s="8">
        <v>1344.4</v>
      </c>
      <c r="L292" s="8">
        <v>1388.7</v>
      </c>
      <c r="M292" s="8">
        <v>2151.1999999999998</v>
      </c>
      <c r="N292" s="8">
        <v>1862.7</v>
      </c>
      <c r="O292" s="8">
        <v>15803.7</v>
      </c>
      <c r="P292" s="8">
        <v>6009.9</v>
      </c>
      <c r="Q292" s="8">
        <v>3033.7</v>
      </c>
      <c r="R292" s="8">
        <v>1333.9</v>
      </c>
      <c r="S292" s="8">
        <v>1384.3</v>
      </c>
      <c r="T292" s="8">
        <v>2160.4</v>
      </c>
      <c r="U292" s="8">
        <v>1873.7</v>
      </c>
      <c r="V292" s="8">
        <v>15799.1</v>
      </c>
    </row>
    <row r="293" spans="1:22" x14ac:dyDescent="0.15">
      <c r="A293" s="9">
        <v>38626</v>
      </c>
      <c r="B293" s="8">
        <v>6100.1</v>
      </c>
      <c r="C293" s="8">
        <v>3099.2</v>
      </c>
      <c r="D293" s="8">
        <v>1368.8</v>
      </c>
      <c r="E293" s="8">
        <v>1314.4</v>
      </c>
      <c r="F293" s="8">
        <v>2142.3000000000002</v>
      </c>
      <c r="G293" s="8">
        <v>1978.1</v>
      </c>
      <c r="H293" s="8">
        <v>16002.8</v>
      </c>
      <c r="I293" s="8">
        <v>6029.4</v>
      </c>
      <c r="J293" s="8">
        <v>3013.9</v>
      </c>
      <c r="K293" s="8">
        <v>1333.4</v>
      </c>
      <c r="L293" s="8">
        <v>1356.5</v>
      </c>
      <c r="M293" s="8">
        <v>2148</v>
      </c>
      <c r="N293" s="8">
        <v>1912.1</v>
      </c>
      <c r="O293" s="8">
        <v>15793.2</v>
      </c>
      <c r="P293" s="8">
        <v>6033.1</v>
      </c>
      <c r="Q293" s="8">
        <v>3037.9</v>
      </c>
      <c r="R293" s="8">
        <v>1332.3</v>
      </c>
      <c r="S293" s="8">
        <v>1374.2</v>
      </c>
      <c r="T293" s="8">
        <v>2160.8000000000002</v>
      </c>
      <c r="U293" s="8">
        <v>1893.2</v>
      </c>
      <c r="V293" s="8">
        <v>15833.4</v>
      </c>
    </row>
    <row r="294" spans="1:22" x14ac:dyDescent="0.15">
      <c r="A294" s="9">
        <v>38657</v>
      </c>
      <c r="B294" s="8">
        <v>6071.2</v>
      </c>
      <c r="C294" s="8">
        <v>3252.9</v>
      </c>
      <c r="D294" s="8">
        <v>1400.9</v>
      </c>
      <c r="E294" s="8">
        <v>1540.4</v>
      </c>
      <c r="F294" s="8">
        <v>2290.4</v>
      </c>
      <c r="G294" s="8">
        <v>1965</v>
      </c>
      <c r="H294" s="8">
        <v>16520.8</v>
      </c>
      <c r="I294" s="8">
        <v>6032.7</v>
      </c>
      <c r="J294" s="8">
        <v>3044.3</v>
      </c>
      <c r="K294" s="8">
        <v>1329.5</v>
      </c>
      <c r="L294" s="8">
        <v>1364.3</v>
      </c>
      <c r="M294" s="8">
        <v>2163.6999999999998</v>
      </c>
      <c r="N294" s="8">
        <v>1937.1</v>
      </c>
      <c r="O294" s="8">
        <v>15871.6</v>
      </c>
      <c r="P294" s="8">
        <v>6052.8</v>
      </c>
      <c r="Q294" s="8">
        <v>3045.6</v>
      </c>
      <c r="R294" s="8">
        <v>1332.5</v>
      </c>
      <c r="S294" s="8">
        <v>1368.2</v>
      </c>
      <c r="T294" s="8">
        <v>2169.1999999999998</v>
      </c>
      <c r="U294" s="8">
        <v>1910.8</v>
      </c>
      <c r="V294" s="8">
        <v>15880.4</v>
      </c>
    </row>
    <row r="295" spans="1:22" x14ac:dyDescent="0.15">
      <c r="A295" s="9">
        <v>38687</v>
      </c>
      <c r="B295" s="8">
        <v>7083.5</v>
      </c>
      <c r="C295" s="8">
        <v>4088.1</v>
      </c>
      <c r="D295" s="8">
        <v>1958.3</v>
      </c>
      <c r="E295" s="8">
        <v>2536</v>
      </c>
      <c r="F295" s="8">
        <v>3136.2</v>
      </c>
      <c r="G295" s="8">
        <v>2152.8000000000002</v>
      </c>
      <c r="H295" s="8">
        <v>20955</v>
      </c>
      <c r="I295" s="8">
        <v>6062.2</v>
      </c>
      <c r="J295" s="8">
        <v>3081.7</v>
      </c>
      <c r="K295" s="8">
        <v>1321.5</v>
      </c>
      <c r="L295" s="8">
        <v>1355.5</v>
      </c>
      <c r="M295" s="8">
        <v>2188.1</v>
      </c>
      <c r="N295" s="8">
        <v>1925.4</v>
      </c>
      <c r="O295" s="8">
        <v>15934.4</v>
      </c>
      <c r="P295" s="8">
        <v>6080.7</v>
      </c>
      <c r="Q295" s="8">
        <v>3056.4</v>
      </c>
      <c r="R295" s="8">
        <v>1335.3</v>
      </c>
      <c r="S295" s="8">
        <v>1370.7</v>
      </c>
      <c r="T295" s="8">
        <v>2184.6</v>
      </c>
      <c r="U295" s="8">
        <v>1927.4</v>
      </c>
      <c r="V295" s="8">
        <v>15953.3</v>
      </c>
    </row>
    <row r="296" spans="1:22" x14ac:dyDescent="0.15">
      <c r="A296" s="9">
        <v>38718</v>
      </c>
      <c r="B296" s="8">
        <v>6113.6</v>
      </c>
      <c r="C296" s="8">
        <v>3036</v>
      </c>
      <c r="D296" s="8">
        <v>1289.2</v>
      </c>
      <c r="E296" s="8">
        <v>1193.7</v>
      </c>
      <c r="F296" s="8">
        <v>2068.4</v>
      </c>
      <c r="G296" s="8">
        <v>1913.8</v>
      </c>
      <c r="H296" s="8">
        <v>15614.7</v>
      </c>
      <c r="I296" s="8">
        <v>6106.9</v>
      </c>
      <c r="J296" s="8">
        <v>3061.3</v>
      </c>
      <c r="K296" s="8">
        <v>1347.8</v>
      </c>
      <c r="L296" s="8">
        <v>1370.3</v>
      </c>
      <c r="M296" s="8">
        <v>2218.6</v>
      </c>
      <c r="N296" s="8">
        <v>1938.2</v>
      </c>
      <c r="O296" s="8">
        <v>16043.1</v>
      </c>
      <c r="P296" s="8">
        <v>6115.9</v>
      </c>
      <c r="Q296" s="8">
        <v>3071</v>
      </c>
      <c r="R296" s="8">
        <v>1338.7</v>
      </c>
      <c r="S296" s="8">
        <v>1379.3</v>
      </c>
      <c r="T296" s="8">
        <v>2204.6</v>
      </c>
      <c r="U296" s="8">
        <v>1941.1</v>
      </c>
      <c r="V296" s="8">
        <v>16051.7</v>
      </c>
    </row>
    <row r="297" spans="1:22" x14ac:dyDescent="0.15">
      <c r="A297" s="9">
        <v>38749</v>
      </c>
      <c r="B297" s="8">
        <v>5704.1</v>
      </c>
      <c r="C297" s="8">
        <v>2692.5</v>
      </c>
      <c r="D297" s="8">
        <v>1084.3</v>
      </c>
      <c r="E297" s="8">
        <v>1037.7</v>
      </c>
      <c r="F297" s="8">
        <v>1962.4</v>
      </c>
      <c r="G297" s="8">
        <v>1750.1</v>
      </c>
      <c r="H297" s="8">
        <v>14231</v>
      </c>
      <c r="I297" s="8">
        <v>6166.3</v>
      </c>
      <c r="J297" s="8">
        <v>3089.4</v>
      </c>
      <c r="K297" s="8">
        <v>1344.7</v>
      </c>
      <c r="L297" s="8">
        <v>1425.4</v>
      </c>
      <c r="M297" s="8">
        <v>2228.8000000000002</v>
      </c>
      <c r="N297" s="8">
        <v>1929.3</v>
      </c>
      <c r="O297" s="8">
        <v>16183.9</v>
      </c>
      <c r="P297" s="8">
        <v>6161.5</v>
      </c>
      <c r="Q297" s="8">
        <v>3092.6</v>
      </c>
      <c r="R297" s="8">
        <v>1344</v>
      </c>
      <c r="S297" s="8">
        <v>1389.8</v>
      </c>
      <c r="T297" s="8">
        <v>2226.4</v>
      </c>
      <c r="U297" s="8">
        <v>1955.5</v>
      </c>
      <c r="V297" s="8">
        <v>16168.8</v>
      </c>
    </row>
    <row r="298" spans="1:22" x14ac:dyDescent="0.15">
      <c r="A298" s="9">
        <v>38777</v>
      </c>
      <c r="B298" s="8">
        <v>6335.1</v>
      </c>
      <c r="C298" s="8">
        <v>2953.4</v>
      </c>
      <c r="D298" s="8">
        <v>1242.8</v>
      </c>
      <c r="E298" s="8">
        <v>1204.5</v>
      </c>
      <c r="F298" s="8">
        <v>2149.1</v>
      </c>
      <c r="G298" s="8">
        <v>1983.8</v>
      </c>
      <c r="H298" s="8">
        <v>15868.7</v>
      </c>
      <c r="I298" s="8">
        <v>6234.6</v>
      </c>
      <c r="J298" s="8">
        <v>3110.6</v>
      </c>
      <c r="K298" s="8">
        <v>1345.1</v>
      </c>
      <c r="L298" s="8">
        <v>1382.4</v>
      </c>
      <c r="M298" s="8">
        <v>2222</v>
      </c>
      <c r="N298" s="8">
        <v>1967.7</v>
      </c>
      <c r="O298" s="8">
        <v>16262.5</v>
      </c>
      <c r="P298" s="8">
        <v>6211.4</v>
      </c>
      <c r="Q298" s="8">
        <v>3115.1</v>
      </c>
      <c r="R298" s="8">
        <v>1350.7</v>
      </c>
      <c r="S298" s="8">
        <v>1400.1</v>
      </c>
      <c r="T298" s="8">
        <v>2246.1</v>
      </c>
      <c r="U298" s="8">
        <v>1971.6</v>
      </c>
      <c r="V298" s="8">
        <v>16294.4</v>
      </c>
    </row>
    <row r="299" spans="1:22" x14ac:dyDescent="0.15">
      <c r="A299" s="9">
        <v>38808</v>
      </c>
      <c r="B299" s="8">
        <v>6139.3</v>
      </c>
      <c r="C299" s="8">
        <v>2804.1</v>
      </c>
      <c r="D299" s="8">
        <v>1290.5</v>
      </c>
      <c r="E299" s="8">
        <v>1348.6</v>
      </c>
      <c r="F299" s="8">
        <v>2070.1999999999998</v>
      </c>
      <c r="G299" s="8">
        <v>1966.5</v>
      </c>
      <c r="H299" s="8">
        <v>15619.2</v>
      </c>
      <c r="I299" s="8">
        <v>6251.6</v>
      </c>
      <c r="J299" s="8">
        <v>3124.7</v>
      </c>
      <c r="K299" s="8">
        <v>1370.5</v>
      </c>
      <c r="L299" s="8">
        <v>1429.9</v>
      </c>
      <c r="M299" s="8">
        <v>2279.6999999999998</v>
      </c>
      <c r="N299" s="8">
        <v>2000.5</v>
      </c>
      <c r="O299" s="8">
        <v>16456.900000000001</v>
      </c>
      <c r="P299" s="8">
        <v>6257.5</v>
      </c>
      <c r="Q299" s="8">
        <v>3138.4</v>
      </c>
      <c r="R299" s="8">
        <v>1359.6</v>
      </c>
      <c r="S299" s="8">
        <v>1405.2</v>
      </c>
      <c r="T299" s="8">
        <v>2263.6999999999998</v>
      </c>
      <c r="U299" s="8">
        <v>1990.4</v>
      </c>
      <c r="V299" s="8">
        <v>16412.400000000001</v>
      </c>
    </row>
    <row r="300" spans="1:22" x14ac:dyDescent="0.15">
      <c r="A300" s="9">
        <v>38838</v>
      </c>
      <c r="B300" s="8">
        <v>6133.3</v>
      </c>
      <c r="C300" s="8">
        <v>3026.2</v>
      </c>
      <c r="D300" s="8">
        <v>1349</v>
      </c>
      <c r="E300" s="8">
        <v>1267.5999999999999</v>
      </c>
      <c r="F300" s="8">
        <v>2177.8000000000002</v>
      </c>
      <c r="G300" s="8">
        <v>2005.1</v>
      </c>
      <c r="H300" s="8">
        <v>15959</v>
      </c>
      <c r="I300" s="8">
        <v>6289.5</v>
      </c>
      <c r="J300" s="8">
        <v>3186.1</v>
      </c>
      <c r="K300" s="8">
        <v>1362.1</v>
      </c>
      <c r="L300" s="8">
        <v>1376.3</v>
      </c>
      <c r="M300" s="8">
        <v>2276.1</v>
      </c>
      <c r="N300" s="8">
        <v>2029.7</v>
      </c>
      <c r="O300" s="8">
        <v>16519.900000000001</v>
      </c>
      <c r="P300" s="8">
        <v>6295.2</v>
      </c>
      <c r="Q300" s="8">
        <v>3160.8</v>
      </c>
      <c r="R300" s="8">
        <v>1369.1</v>
      </c>
      <c r="S300" s="8">
        <v>1404</v>
      </c>
      <c r="T300" s="8">
        <v>2276.6999999999998</v>
      </c>
      <c r="U300" s="8">
        <v>2008.9</v>
      </c>
      <c r="V300" s="8">
        <v>16517.599999999999</v>
      </c>
    </row>
    <row r="301" spans="1:22" x14ac:dyDescent="0.15">
      <c r="A301" s="9">
        <v>38869</v>
      </c>
      <c r="B301" s="8">
        <v>6071.6</v>
      </c>
      <c r="C301" s="8">
        <v>3148.2</v>
      </c>
      <c r="D301" s="8">
        <v>1346.9</v>
      </c>
      <c r="E301" s="8">
        <v>1429</v>
      </c>
      <c r="F301" s="8">
        <v>2167.3000000000002</v>
      </c>
      <c r="G301" s="8">
        <v>1943.6</v>
      </c>
      <c r="H301" s="8">
        <v>16106.6</v>
      </c>
      <c r="I301" s="8">
        <v>6355.8</v>
      </c>
      <c r="J301" s="8">
        <v>3179.6</v>
      </c>
      <c r="K301" s="8">
        <v>1378.7</v>
      </c>
      <c r="L301" s="8">
        <v>1411.7</v>
      </c>
      <c r="M301" s="8">
        <v>2303.6</v>
      </c>
      <c r="N301" s="8">
        <v>2016.1</v>
      </c>
      <c r="O301" s="8">
        <v>16645.5</v>
      </c>
      <c r="P301" s="8">
        <v>6332.9</v>
      </c>
      <c r="Q301" s="8">
        <v>3187</v>
      </c>
      <c r="R301" s="8">
        <v>1380</v>
      </c>
      <c r="S301" s="8">
        <v>1398.8</v>
      </c>
      <c r="T301" s="8">
        <v>2287.6999999999998</v>
      </c>
      <c r="U301" s="8">
        <v>2025.4</v>
      </c>
      <c r="V301" s="8">
        <v>16610.8</v>
      </c>
    </row>
    <row r="302" spans="1:22" x14ac:dyDescent="0.15">
      <c r="A302" s="9">
        <v>38899</v>
      </c>
      <c r="B302" s="8">
        <v>6197.4</v>
      </c>
      <c r="C302" s="8">
        <v>3120.4</v>
      </c>
      <c r="D302" s="8">
        <v>1304</v>
      </c>
      <c r="E302" s="8">
        <v>1412</v>
      </c>
      <c r="F302" s="8">
        <v>2161.5</v>
      </c>
      <c r="G302" s="8">
        <v>2019.2</v>
      </c>
      <c r="H302" s="8">
        <v>16214.5</v>
      </c>
      <c r="I302" s="8">
        <v>6351.9</v>
      </c>
      <c r="J302" s="8">
        <v>3221</v>
      </c>
      <c r="K302" s="8">
        <v>1385.4</v>
      </c>
      <c r="L302" s="8">
        <v>1404.5</v>
      </c>
      <c r="M302" s="8">
        <v>2281.1999999999998</v>
      </c>
      <c r="N302" s="8">
        <v>2032.8</v>
      </c>
      <c r="O302" s="8">
        <v>16676.900000000001</v>
      </c>
      <c r="P302" s="8">
        <v>6366.2</v>
      </c>
      <c r="Q302" s="8">
        <v>3207.4</v>
      </c>
      <c r="R302" s="8">
        <v>1392</v>
      </c>
      <c r="S302" s="8">
        <v>1393.8</v>
      </c>
      <c r="T302" s="8">
        <v>2295.6999999999998</v>
      </c>
      <c r="U302" s="8">
        <v>2035.6</v>
      </c>
      <c r="V302" s="8">
        <v>16692.7</v>
      </c>
    </row>
    <row r="303" spans="1:22" x14ac:dyDescent="0.15">
      <c r="A303" s="9">
        <v>38930</v>
      </c>
      <c r="B303" s="8">
        <v>6368.5</v>
      </c>
      <c r="C303" s="8">
        <v>3150.1</v>
      </c>
      <c r="D303" s="8">
        <v>1324.9</v>
      </c>
      <c r="E303" s="8">
        <v>1239.2</v>
      </c>
      <c r="F303" s="8">
        <v>2275.9</v>
      </c>
      <c r="G303" s="8">
        <v>2043.2</v>
      </c>
      <c r="H303" s="8">
        <v>16401.900000000001</v>
      </c>
      <c r="I303" s="8">
        <v>6386.5</v>
      </c>
      <c r="J303" s="8">
        <v>3200.3</v>
      </c>
      <c r="K303" s="8">
        <v>1405.5</v>
      </c>
      <c r="L303" s="8">
        <v>1404.3</v>
      </c>
      <c r="M303" s="8">
        <v>2308.4</v>
      </c>
      <c r="N303" s="8">
        <v>2038.3</v>
      </c>
      <c r="O303" s="8">
        <v>16743.3</v>
      </c>
      <c r="P303" s="8">
        <v>6400.7</v>
      </c>
      <c r="Q303" s="8">
        <v>3225.4</v>
      </c>
      <c r="R303" s="8">
        <v>1401.9</v>
      </c>
      <c r="S303" s="8">
        <v>1393</v>
      </c>
      <c r="T303" s="8">
        <v>2302.6999999999998</v>
      </c>
      <c r="U303" s="8">
        <v>2041.9</v>
      </c>
      <c r="V303" s="8">
        <v>16765.900000000001</v>
      </c>
    </row>
    <row r="304" spans="1:22" x14ac:dyDescent="0.15">
      <c r="A304" s="9">
        <v>38961</v>
      </c>
      <c r="B304" s="8">
        <v>6296.9</v>
      </c>
      <c r="C304" s="8">
        <v>3196.1</v>
      </c>
      <c r="D304" s="8">
        <v>1384.2</v>
      </c>
      <c r="E304" s="8">
        <v>1219.0999999999999</v>
      </c>
      <c r="F304" s="8">
        <v>2213.6</v>
      </c>
      <c r="G304" s="8">
        <v>2038.7</v>
      </c>
      <c r="H304" s="8">
        <v>16348.7</v>
      </c>
      <c r="I304" s="8">
        <v>6436.3</v>
      </c>
      <c r="J304" s="8">
        <v>3261.8</v>
      </c>
      <c r="K304" s="8">
        <v>1419.3</v>
      </c>
      <c r="L304" s="8">
        <v>1341.1</v>
      </c>
      <c r="M304" s="8">
        <v>2297.3000000000002</v>
      </c>
      <c r="N304" s="8">
        <v>2060.3000000000002</v>
      </c>
      <c r="O304" s="8">
        <v>16816.099999999999</v>
      </c>
      <c r="P304" s="8">
        <v>6439.2</v>
      </c>
      <c r="Q304" s="8">
        <v>3236.8</v>
      </c>
      <c r="R304" s="8">
        <v>1409.3</v>
      </c>
      <c r="S304" s="8">
        <v>1396.2</v>
      </c>
      <c r="T304" s="8">
        <v>2307.4</v>
      </c>
      <c r="U304" s="8">
        <v>2046.2</v>
      </c>
      <c r="V304" s="8">
        <v>16835.7</v>
      </c>
    </row>
    <row r="305" spans="1:22" x14ac:dyDescent="0.15">
      <c r="A305" s="9">
        <v>38991</v>
      </c>
      <c r="B305" s="8">
        <v>6567.2</v>
      </c>
      <c r="C305" s="8">
        <v>3346.8</v>
      </c>
      <c r="D305" s="8">
        <v>1464.3</v>
      </c>
      <c r="E305" s="8">
        <v>1344.6</v>
      </c>
      <c r="F305" s="8">
        <v>2319.4</v>
      </c>
      <c r="G305" s="8">
        <v>2113.3000000000002</v>
      </c>
      <c r="H305" s="8">
        <v>17155.7</v>
      </c>
      <c r="I305" s="8">
        <v>6519.4</v>
      </c>
      <c r="J305" s="8">
        <v>3256.6</v>
      </c>
      <c r="K305" s="8">
        <v>1425.6</v>
      </c>
      <c r="L305" s="8">
        <v>1422.3</v>
      </c>
      <c r="M305" s="8">
        <v>2311.8000000000002</v>
      </c>
      <c r="N305" s="8">
        <v>2054.8000000000002</v>
      </c>
      <c r="O305" s="8">
        <v>16990.5</v>
      </c>
      <c r="P305" s="8">
        <v>6480</v>
      </c>
      <c r="Q305" s="8">
        <v>3255.6</v>
      </c>
      <c r="R305" s="8">
        <v>1413.7</v>
      </c>
      <c r="S305" s="8">
        <v>1404.8</v>
      </c>
      <c r="T305" s="8">
        <v>2311.5</v>
      </c>
      <c r="U305" s="8">
        <v>2053.5</v>
      </c>
      <c r="V305" s="8">
        <v>16917.3</v>
      </c>
    </row>
    <row r="306" spans="1:22" x14ac:dyDescent="0.15">
      <c r="A306" s="9">
        <v>39022</v>
      </c>
      <c r="B306" s="8">
        <v>6614.2</v>
      </c>
      <c r="C306" s="8">
        <v>3494</v>
      </c>
      <c r="D306" s="8">
        <v>1486.1</v>
      </c>
      <c r="E306" s="8">
        <v>1623.3</v>
      </c>
      <c r="F306" s="8">
        <v>2473.4</v>
      </c>
      <c r="G306" s="8">
        <v>2109.4</v>
      </c>
      <c r="H306" s="8">
        <v>17800.400000000001</v>
      </c>
      <c r="I306" s="8">
        <v>6495.8</v>
      </c>
      <c r="J306" s="8">
        <v>3283.6</v>
      </c>
      <c r="K306" s="8">
        <v>1407.1</v>
      </c>
      <c r="L306" s="8">
        <v>1430.7</v>
      </c>
      <c r="M306" s="8">
        <v>2326</v>
      </c>
      <c r="N306" s="8">
        <v>2058.1999999999998</v>
      </c>
      <c r="O306" s="8">
        <v>17001.5</v>
      </c>
      <c r="P306" s="8">
        <v>6519.8</v>
      </c>
      <c r="Q306" s="8">
        <v>3280.7</v>
      </c>
      <c r="R306" s="8">
        <v>1418.7</v>
      </c>
      <c r="S306" s="8">
        <v>1418.9</v>
      </c>
      <c r="T306" s="8">
        <v>2317.5</v>
      </c>
      <c r="U306" s="8">
        <v>2067.3000000000002</v>
      </c>
      <c r="V306" s="8">
        <v>17022.3</v>
      </c>
    </row>
    <row r="307" spans="1:22" x14ac:dyDescent="0.15">
      <c r="A307" s="9">
        <v>39052</v>
      </c>
      <c r="B307" s="8">
        <v>7569.8</v>
      </c>
      <c r="C307" s="8">
        <v>4301.3</v>
      </c>
      <c r="D307" s="8">
        <v>2056.6</v>
      </c>
      <c r="E307" s="8">
        <v>2611.1</v>
      </c>
      <c r="F307" s="8">
        <v>3306.8</v>
      </c>
      <c r="G307" s="8">
        <v>2297.3000000000002</v>
      </c>
      <c r="H307" s="8">
        <v>22142.799999999999</v>
      </c>
      <c r="I307" s="8">
        <v>6551.8</v>
      </c>
      <c r="J307" s="8">
        <v>3254.8</v>
      </c>
      <c r="K307" s="8">
        <v>1412.2</v>
      </c>
      <c r="L307" s="8">
        <v>1442.2</v>
      </c>
      <c r="M307" s="8">
        <v>2329.1</v>
      </c>
      <c r="N307" s="8">
        <v>2059.3000000000002</v>
      </c>
      <c r="O307" s="8">
        <v>17049.400000000001</v>
      </c>
      <c r="P307" s="8">
        <v>6566.1</v>
      </c>
      <c r="Q307" s="8">
        <v>3312.2</v>
      </c>
      <c r="R307" s="8">
        <v>1421.2</v>
      </c>
      <c r="S307" s="8">
        <v>1434.5</v>
      </c>
      <c r="T307" s="8">
        <v>2322.5</v>
      </c>
      <c r="U307" s="8">
        <v>2085.5</v>
      </c>
      <c r="V307" s="8">
        <v>17142.8</v>
      </c>
    </row>
    <row r="308" spans="1:22" x14ac:dyDescent="0.15">
      <c r="A308" s="9">
        <v>39083</v>
      </c>
      <c r="B308" s="8">
        <v>6638.4</v>
      </c>
      <c r="C308" s="8">
        <v>3332.3</v>
      </c>
      <c r="D308" s="8">
        <v>1354.6</v>
      </c>
      <c r="E308" s="8">
        <v>1267.3</v>
      </c>
      <c r="F308" s="8">
        <v>2165.5</v>
      </c>
      <c r="G308" s="8">
        <v>2097.1</v>
      </c>
      <c r="H308" s="8">
        <v>16855.2</v>
      </c>
      <c r="I308" s="8">
        <v>6609.7</v>
      </c>
      <c r="J308" s="8">
        <v>3348.2</v>
      </c>
      <c r="K308" s="8">
        <v>1420.1</v>
      </c>
      <c r="L308" s="8">
        <v>1433.5</v>
      </c>
      <c r="M308" s="8">
        <v>2307.5</v>
      </c>
      <c r="N308" s="8">
        <v>2117.8000000000002</v>
      </c>
      <c r="O308" s="8">
        <v>17236.900000000001</v>
      </c>
      <c r="P308" s="8">
        <v>6611</v>
      </c>
      <c r="Q308" s="8">
        <v>3347.5</v>
      </c>
      <c r="R308" s="8">
        <v>1428.1</v>
      </c>
      <c r="S308" s="8">
        <v>1449.1</v>
      </c>
      <c r="T308" s="8">
        <v>2326</v>
      </c>
      <c r="U308" s="8">
        <v>2108.8000000000002</v>
      </c>
      <c r="V308" s="8">
        <v>17266.900000000001</v>
      </c>
    </row>
    <row r="309" spans="1:22" x14ac:dyDescent="0.15">
      <c r="A309" s="9">
        <v>39114</v>
      </c>
      <c r="B309" s="8">
        <v>6172.9</v>
      </c>
      <c r="C309" s="8">
        <v>2963.4</v>
      </c>
      <c r="D309" s="8">
        <v>1165</v>
      </c>
      <c r="E309" s="8">
        <v>1047</v>
      </c>
      <c r="F309" s="8">
        <v>2044</v>
      </c>
      <c r="G309" s="8">
        <v>1939</v>
      </c>
      <c r="H309" s="8">
        <v>15331.4</v>
      </c>
      <c r="I309" s="8">
        <v>6674.5</v>
      </c>
      <c r="J309" s="8">
        <v>3413.7</v>
      </c>
      <c r="K309" s="8">
        <v>1442.7</v>
      </c>
      <c r="L309" s="8">
        <v>1448.1</v>
      </c>
      <c r="M309" s="8">
        <v>2323</v>
      </c>
      <c r="N309" s="8">
        <v>2138.4</v>
      </c>
      <c r="O309" s="8">
        <v>17440.400000000001</v>
      </c>
      <c r="P309" s="8">
        <v>6656.1</v>
      </c>
      <c r="Q309" s="8">
        <v>3375.5</v>
      </c>
      <c r="R309" s="8">
        <v>1435.4</v>
      </c>
      <c r="S309" s="8">
        <v>1458.9</v>
      </c>
      <c r="T309" s="8">
        <v>2324.1</v>
      </c>
      <c r="U309" s="8">
        <v>2133.5</v>
      </c>
      <c r="V309" s="8">
        <v>17384.599999999999</v>
      </c>
    </row>
    <row r="310" spans="1:22" x14ac:dyDescent="0.15">
      <c r="A310" s="9">
        <v>39142</v>
      </c>
      <c r="B310" s="8">
        <v>6863</v>
      </c>
      <c r="C310" s="8">
        <v>3283.3</v>
      </c>
      <c r="D310" s="8">
        <v>1368.3</v>
      </c>
      <c r="E310" s="8">
        <v>1331.6</v>
      </c>
      <c r="F310" s="8">
        <v>2279.5</v>
      </c>
      <c r="G310" s="8">
        <v>2191.9</v>
      </c>
      <c r="H310" s="8">
        <v>17317.7</v>
      </c>
      <c r="I310" s="8">
        <v>6707.4</v>
      </c>
      <c r="J310" s="8">
        <v>3444.8</v>
      </c>
      <c r="K310" s="8">
        <v>1465.3</v>
      </c>
      <c r="L310" s="8">
        <v>1517.1</v>
      </c>
      <c r="M310" s="8">
        <v>2354.8000000000002</v>
      </c>
      <c r="N310" s="8">
        <v>2174.9</v>
      </c>
      <c r="O310" s="8">
        <v>17664.400000000001</v>
      </c>
      <c r="P310" s="8">
        <v>6707.1</v>
      </c>
      <c r="Q310" s="8">
        <v>3392.9</v>
      </c>
      <c r="R310" s="8">
        <v>1444.8</v>
      </c>
      <c r="S310" s="8">
        <v>1463.8</v>
      </c>
      <c r="T310" s="8">
        <v>2323</v>
      </c>
      <c r="U310" s="8">
        <v>2156.8000000000002</v>
      </c>
      <c r="V310" s="8">
        <v>17491.7</v>
      </c>
    </row>
    <row r="311" spans="1:22" x14ac:dyDescent="0.15">
      <c r="A311" s="9">
        <v>39173</v>
      </c>
      <c r="B311" s="8">
        <v>6600</v>
      </c>
      <c r="C311" s="8">
        <v>3010.1</v>
      </c>
      <c r="D311" s="8">
        <v>1359.1</v>
      </c>
      <c r="E311" s="8">
        <v>1302.5999999999999</v>
      </c>
      <c r="F311" s="8">
        <v>2108.5</v>
      </c>
      <c r="G311" s="8">
        <v>2134</v>
      </c>
      <c r="H311" s="8">
        <v>16514.400000000001</v>
      </c>
      <c r="I311" s="8">
        <v>6766</v>
      </c>
      <c r="J311" s="8">
        <v>3379.3</v>
      </c>
      <c r="K311" s="8">
        <v>1456.3</v>
      </c>
      <c r="L311" s="8">
        <v>1434.5</v>
      </c>
      <c r="M311" s="8">
        <v>2329</v>
      </c>
      <c r="N311" s="8">
        <v>2176.9</v>
      </c>
      <c r="O311" s="8">
        <v>17542</v>
      </c>
      <c r="P311" s="8">
        <v>6759.2</v>
      </c>
      <c r="Q311" s="8">
        <v>3408.1</v>
      </c>
      <c r="R311" s="8">
        <v>1455.3</v>
      </c>
      <c r="S311" s="8">
        <v>1465.9</v>
      </c>
      <c r="T311" s="8">
        <v>2328</v>
      </c>
      <c r="U311" s="8">
        <v>2176.5</v>
      </c>
      <c r="V311" s="8">
        <v>17592.8</v>
      </c>
    </row>
    <row r="312" spans="1:22" x14ac:dyDescent="0.15">
      <c r="A312" s="9">
        <v>39203</v>
      </c>
      <c r="B312" s="8">
        <v>6691.7</v>
      </c>
      <c r="C312" s="8">
        <v>3239.8</v>
      </c>
      <c r="D312" s="8">
        <v>1430.3</v>
      </c>
      <c r="E312" s="8">
        <v>1365.1</v>
      </c>
      <c r="F312" s="8">
        <v>2228.1</v>
      </c>
      <c r="G312" s="8">
        <v>2145.5</v>
      </c>
      <c r="H312" s="8">
        <v>17100.400000000001</v>
      </c>
      <c r="I312" s="8">
        <v>6793.9</v>
      </c>
      <c r="J312" s="8">
        <v>3397.9</v>
      </c>
      <c r="K312" s="8">
        <v>1416.9</v>
      </c>
      <c r="L312" s="8">
        <v>1459.8</v>
      </c>
      <c r="M312" s="8">
        <v>2305.1</v>
      </c>
      <c r="N312" s="8">
        <v>2170.1999999999998</v>
      </c>
      <c r="O312" s="8">
        <v>17543.8</v>
      </c>
      <c r="P312" s="8">
        <v>6815</v>
      </c>
      <c r="Q312" s="8">
        <v>3418.5</v>
      </c>
      <c r="R312" s="8">
        <v>1464.4</v>
      </c>
      <c r="S312" s="8">
        <v>1468.7</v>
      </c>
      <c r="T312" s="8">
        <v>2337.6</v>
      </c>
      <c r="U312" s="8">
        <v>2190.6999999999998</v>
      </c>
      <c r="V312" s="8">
        <v>17695.099999999999</v>
      </c>
    </row>
    <row r="313" spans="1:22" x14ac:dyDescent="0.15">
      <c r="A313" s="9">
        <v>39234</v>
      </c>
      <c r="B313" s="8">
        <v>6518</v>
      </c>
      <c r="C313" s="8">
        <v>3399</v>
      </c>
      <c r="D313" s="8">
        <v>1461.5</v>
      </c>
      <c r="E313" s="8">
        <v>1491.5</v>
      </c>
      <c r="F313" s="8">
        <v>2180.3000000000002</v>
      </c>
      <c r="G313" s="8">
        <v>2133.8000000000002</v>
      </c>
      <c r="H313" s="8">
        <v>17184.099999999999</v>
      </c>
      <c r="I313" s="8">
        <v>6863.7</v>
      </c>
      <c r="J313" s="8">
        <v>3419.6</v>
      </c>
      <c r="K313" s="8">
        <v>1503.2</v>
      </c>
      <c r="L313" s="8">
        <v>1480.5</v>
      </c>
      <c r="M313" s="8">
        <v>2338.6</v>
      </c>
      <c r="N313" s="8">
        <v>2212.1999999999998</v>
      </c>
      <c r="O313" s="8">
        <v>17817.7</v>
      </c>
      <c r="P313" s="8">
        <v>6876.9</v>
      </c>
      <c r="Q313" s="8">
        <v>3429.2</v>
      </c>
      <c r="R313" s="8">
        <v>1480.5</v>
      </c>
      <c r="S313" s="8">
        <v>1472.2</v>
      </c>
      <c r="T313" s="8">
        <v>2356.1</v>
      </c>
      <c r="U313" s="8">
        <v>2199.4</v>
      </c>
      <c r="V313" s="8">
        <v>17805.900000000001</v>
      </c>
    </row>
    <row r="314" spans="1:22" x14ac:dyDescent="0.15">
      <c r="A314" s="9">
        <v>39264</v>
      </c>
      <c r="B314" s="8">
        <v>6751.1</v>
      </c>
      <c r="C314" s="8">
        <v>3333.5</v>
      </c>
      <c r="D314" s="8">
        <v>1427.6</v>
      </c>
      <c r="E314" s="8">
        <v>1462.3</v>
      </c>
      <c r="F314" s="8">
        <v>2284.1999999999998</v>
      </c>
      <c r="G314" s="8">
        <v>2178.4</v>
      </c>
      <c r="H314" s="8">
        <v>17437</v>
      </c>
      <c r="I314" s="8">
        <v>6945.6</v>
      </c>
      <c r="J314" s="8">
        <v>3432</v>
      </c>
      <c r="K314" s="8">
        <v>1510.8</v>
      </c>
      <c r="L314" s="8">
        <v>1471.3</v>
      </c>
      <c r="M314" s="8">
        <v>2397.1</v>
      </c>
      <c r="N314" s="8">
        <v>2202.6999999999998</v>
      </c>
      <c r="O314" s="8">
        <v>17959.599999999999</v>
      </c>
      <c r="P314" s="8">
        <v>6931.1</v>
      </c>
      <c r="Q314" s="8">
        <v>3448.2</v>
      </c>
      <c r="R314" s="8">
        <v>1492.1</v>
      </c>
      <c r="S314" s="8">
        <v>1477.5</v>
      </c>
      <c r="T314" s="8">
        <v>2378.4</v>
      </c>
      <c r="U314" s="8">
        <v>2205.9</v>
      </c>
      <c r="V314" s="8">
        <v>17933.8</v>
      </c>
    </row>
    <row r="315" spans="1:22" x14ac:dyDescent="0.15">
      <c r="A315" s="9">
        <v>39295</v>
      </c>
      <c r="B315" s="8">
        <v>7001.1</v>
      </c>
      <c r="C315" s="8">
        <v>3433.6</v>
      </c>
      <c r="D315" s="8">
        <v>1406.8</v>
      </c>
      <c r="E315" s="8">
        <v>1315.5</v>
      </c>
      <c r="F315" s="8">
        <v>2386.6</v>
      </c>
      <c r="G315" s="8">
        <v>2257.9</v>
      </c>
      <c r="H315" s="8">
        <v>17801.5</v>
      </c>
      <c r="I315" s="8">
        <v>6968.9</v>
      </c>
      <c r="J315" s="8">
        <v>3476.3</v>
      </c>
      <c r="K315" s="8">
        <v>1498.4</v>
      </c>
      <c r="L315" s="8">
        <v>1488.4</v>
      </c>
      <c r="M315" s="8">
        <v>2414.5</v>
      </c>
      <c r="N315" s="8">
        <v>2215.9</v>
      </c>
      <c r="O315" s="8">
        <v>18062.599999999999</v>
      </c>
      <c r="P315" s="8">
        <v>6988</v>
      </c>
      <c r="Q315" s="8">
        <v>3473.7</v>
      </c>
      <c r="R315" s="8">
        <v>1503.8</v>
      </c>
      <c r="S315" s="8">
        <v>1485.8</v>
      </c>
      <c r="T315" s="8">
        <v>2408</v>
      </c>
      <c r="U315" s="8">
        <v>2210</v>
      </c>
      <c r="V315" s="8">
        <v>18075.3</v>
      </c>
    </row>
    <row r="316" spans="1:22" x14ac:dyDescent="0.15">
      <c r="A316" s="9">
        <v>39326</v>
      </c>
      <c r="B316" s="8">
        <v>6847.4</v>
      </c>
      <c r="C316" s="8">
        <v>3443.2</v>
      </c>
      <c r="D316" s="8">
        <v>1459.1</v>
      </c>
      <c r="E316" s="8">
        <v>1353.3</v>
      </c>
      <c r="F316" s="8">
        <v>2321</v>
      </c>
      <c r="G316" s="8">
        <v>2179.5</v>
      </c>
      <c r="H316" s="8">
        <v>17603.5</v>
      </c>
      <c r="I316" s="8">
        <v>7067.5</v>
      </c>
      <c r="J316" s="8">
        <v>3544</v>
      </c>
      <c r="K316" s="8">
        <v>1498.5</v>
      </c>
      <c r="L316" s="8">
        <v>1497.3</v>
      </c>
      <c r="M316" s="8">
        <v>2433.1999999999998</v>
      </c>
      <c r="N316" s="8">
        <v>2218.8000000000002</v>
      </c>
      <c r="O316" s="8">
        <v>18259.400000000001</v>
      </c>
      <c r="P316" s="8">
        <v>7027.8</v>
      </c>
      <c r="Q316" s="8">
        <v>3500.6</v>
      </c>
      <c r="R316" s="8">
        <v>1512.8</v>
      </c>
      <c r="S316" s="8">
        <v>1497</v>
      </c>
      <c r="T316" s="8">
        <v>2433.9</v>
      </c>
      <c r="U316" s="8">
        <v>2212.1999999999998</v>
      </c>
      <c r="V316" s="8">
        <v>18210.099999999999</v>
      </c>
    </row>
    <row r="317" spans="1:22" x14ac:dyDescent="0.15">
      <c r="A317" s="9">
        <v>39356</v>
      </c>
      <c r="B317" s="8">
        <v>7144.7</v>
      </c>
      <c r="C317" s="8">
        <v>3591.4</v>
      </c>
      <c r="D317" s="8">
        <v>1561.1</v>
      </c>
      <c r="E317" s="8">
        <v>1440.6</v>
      </c>
      <c r="F317" s="8">
        <v>2535.3000000000002</v>
      </c>
      <c r="G317" s="8">
        <v>2257.3000000000002</v>
      </c>
      <c r="H317" s="8">
        <v>18530.400000000001</v>
      </c>
      <c r="I317" s="8">
        <v>7068.6</v>
      </c>
      <c r="J317" s="8">
        <v>3494.4</v>
      </c>
      <c r="K317" s="8">
        <v>1525.2</v>
      </c>
      <c r="L317" s="8">
        <v>1507.4</v>
      </c>
      <c r="M317" s="8">
        <v>2517</v>
      </c>
      <c r="N317" s="8">
        <v>2183.6999999999998</v>
      </c>
      <c r="O317" s="8">
        <v>18296.3</v>
      </c>
      <c r="P317" s="8">
        <v>7063.8</v>
      </c>
      <c r="Q317" s="8">
        <v>3521.2</v>
      </c>
      <c r="R317" s="8">
        <v>1520.2</v>
      </c>
      <c r="S317" s="8">
        <v>1508.2</v>
      </c>
      <c r="T317" s="8">
        <v>2510.5</v>
      </c>
      <c r="U317" s="8">
        <v>2212.6</v>
      </c>
      <c r="V317" s="8">
        <v>18316.099999999999</v>
      </c>
    </row>
    <row r="318" spans="1:22" x14ac:dyDescent="0.15">
      <c r="A318" s="9">
        <v>39387</v>
      </c>
      <c r="B318" s="8">
        <v>7250</v>
      </c>
      <c r="C318" s="8">
        <v>3774.4</v>
      </c>
      <c r="D318" s="8">
        <v>1617.8</v>
      </c>
      <c r="E318" s="8">
        <v>1687.9</v>
      </c>
      <c r="F318" s="8">
        <v>2692.3</v>
      </c>
      <c r="G318" s="8">
        <v>2284.6</v>
      </c>
      <c r="H318" s="8">
        <v>19307.099999999999</v>
      </c>
      <c r="I318" s="8">
        <v>7071.8</v>
      </c>
      <c r="J318" s="8">
        <v>3529.8</v>
      </c>
      <c r="K318" s="8">
        <v>1533.9</v>
      </c>
      <c r="L318" s="8">
        <v>1514.9</v>
      </c>
      <c r="M318" s="8">
        <v>2525.9</v>
      </c>
      <c r="N318" s="8">
        <v>2224.6999999999998</v>
      </c>
      <c r="O318" s="8">
        <v>18401</v>
      </c>
      <c r="P318" s="8">
        <v>7083.7</v>
      </c>
      <c r="Q318" s="8">
        <v>3530.5</v>
      </c>
      <c r="R318" s="8">
        <v>1521.1</v>
      </c>
      <c r="S318" s="8">
        <v>1517.4</v>
      </c>
      <c r="T318" s="8">
        <v>2533.1</v>
      </c>
      <c r="U318" s="8">
        <v>2210.1</v>
      </c>
      <c r="V318" s="8">
        <v>18384.099999999999</v>
      </c>
    </row>
    <row r="319" spans="1:22" x14ac:dyDescent="0.15">
      <c r="A319" s="9">
        <v>39417</v>
      </c>
      <c r="B319" s="8">
        <v>8154.3</v>
      </c>
      <c r="C319" s="8">
        <v>4684.7</v>
      </c>
      <c r="D319" s="8">
        <v>2204.1999999999998</v>
      </c>
      <c r="E319" s="8">
        <v>2747</v>
      </c>
      <c r="F319" s="8">
        <v>3582.4</v>
      </c>
      <c r="G319" s="8">
        <v>2461.1</v>
      </c>
      <c r="H319" s="8">
        <v>23833.7</v>
      </c>
      <c r="I319" s="8">
        <v>7108.1</v>
      </c>
      <c r="J319" s="8">
        <v>3550.5</v>
      </c>
      <c r="K319" s="8">
        <v>1520</v>
      </c>
      <c r="L319" s="8">
        <v>1526.3</v>
      </c>
      <c r="M319" s="8">
        <v>2545.4</v>
      </c>
      <c r="N319" s="8">
        <v>2222.8000000000002</v>
      </c>
      <c r="O319" s="8">
        <v>18473</v>
      </c>
      <c r="P319" s="8">
        <v>7091.5</v>
      </c>
      <c r="Q319" s="8">
        <v>3530.8</v>
      </c>
      <c r="R319" s="8">
        <v>1523.2</v>
      </c>
      <c r="S319" s="8">
        <v>1525.4</v>
      </c>
      <c r="T319" s="8">
        <v>2548.1</v>
      </c>
      <c r="U319" s="8">
        <v>2205.6999999999998</v>
      </c>
      <c r="V319" s="8">
        <v>18426.900000000001</v>
      </c>
    </row>
    <row r="320" spans="1:22" x14ac:dyDescent="0.15">
      <c r="A320" s="9">
        <v>39448</v>
      </c>
      <c r="B320" s="8">
        <v>7206.3</v>
      </c>
      <c r="C320" s="8">
        <v>3535.1</v>
      </c>
      <c r="D320" s="8">
        <v>1461.1</v>
      </c>
      <c r="E320" s="8">
        <v>1397.8</v>
      </c>
      <c r="F320" s="8">
        <v>2437.1</v>
      </c>
      <c r="G320" s="8">
        <v>2163.5</v>
      </c>
      <c r="H320" s="8">
        <v>18201</v>
      </c>
      <c r="I320" s="8">
        <v>7099</v>
      </c>
      <c r="J320" s="8">
        <v>3531.9</v>
      </c>
      <c r="K320" s="8">
        <v>1512.3</v>
      </c>
      <c r="L320" s="8">
        <v>1539.2</v>
      </c>
      <c r="M320" s="8">
        <v>2568.1999999999998</v>
      </c>
      <c r="N320" s="8">
        <v>2184.1</v>
      </c>
      <c r="O320" s="8">
        <v>18434.599999999999</v>
      </c>
      <c r="P320" s="8">
        <v>7100.3</v>
      </c>
      <c r="Q320" s="8">
        <v>3527.4</v>
      </c>
      <c r="R320" s="8">
        <v>1522.7</v>
      </c>
      <c r="S320" s="8">
        <v>1530.5</v>
      </c>
      <c r="T320" s="8">
        <v>2559.1</v>
      </c>
      <c r="U320" s="8">
        <v>2201.1</v>
      </c>
      <c r="V320" s="8">
        <v>18448.900000000001</v>
      </c>
    </row>
    <row r="321" spans="1:22" x14ac:dyDescent="0.15">
      <c r="A321" s="9">
        <v>39479</v>
      </c>
      <c r="B321" s="8">
        <v>6787.8</v>
      </c>
      <c r="C321" s="8">
        <v>3142.9</v>
      </c>
      <c r="D321" s="8">
        <v>1278.0999999999999</v>
      </c>
      <c r="E321" s="8">
        <v>1140.5</v>
      </c>
      <c r="F321" s="8">
        <v>2355.5</v>
      </c>
      <c r="G321" s="8">
        <v>2086.6999999999998</v>
      </c>
      <c r="H321" s="8">
        <v>16791.400000000001</v>
      </c>
      <c r="I321" s="8">
        <v>7064.6</v>
      </c>
      <c r="J321" s="8">
        <v>3498</v>
      </c>
      <c r="K321" s="8">
        <v>1526.9</v>
      </c>
      <c r="L321" s="8">
        <v>1537.5</v>
      </c>
      <c r="M321" s="8">
        <v>2572.1</v>
      </c>
      <c r="N321" s="8">
        <v>2208.6999999999998</v>
      </c>
      <c r="O321" s="8">
        <v>18407.900000000001</v>
      </c>
      <c r="P321" s="8">
        <v>7113.5</v>
      </c>
      <c r="Q321" s="8">
        <v>3523.4</v>
      </c>
      <c r="R321" s="8">
        <v>1520</v>
      </c>
      <c r="S321" s="8">
        <v>1533.9</v>
      </c>
      <c r="T321" s="8">
        <v>2570</v>
      </c>
      <c r="U321" s="8">
        <v>2195.8000000000002</v>
      </c>
      <c r="V321" s="8">
        <v>18457</v>
      </c>
    </row>
    <row r="322" spans="1:22" x14ac:dyDescent="0.15">
      <c r="A322" s="9">
        <v>39508</v>
      </c>
      <c r="B322" s="8">
        <v>7315.8</v>
      </c>
      <c r="C322" s="8">
        <v>3212.5</v>
      </c>
      <c r="D322" s="8">
        <v>1353.9</v>
      </c>
      <c r="E322" s="8">
        <v>1351.7</v>
      </c>
      <c r="F322" s="8">
        <v>2414.5</v>
      </c>
      <c r="G322" s="8">
        <v>2159.4</v>
      </c>
      <c r="H322" s="8">
        <v>17807.900000000001</v>
      </c>
      <c r="I322" s="8">
        <v>7179.3</v>
      </c>
      <c r="J322" s="8">
        <v>3521.7</v>
      </c>
      <c r="K322" s="8">
        <v>1503.7</v>
      </c>
      <c r="L322" s="8">
        <v>1515.5</v>
      </c>
      <c r="M322" s="8">
        <v>2573.8000000000002</v>
      </c>
      <c r="N322" s="8">
        <v>2179.1999999999998</v>
      </c>
      <c r="O322" s="8">
        <v>18473.2</v>
      </c>
      <c r="P322" s="8">
        <v>7129.8</v>
      </c>
      <c r="Q322" s="8">
        <v>3517.7</v>
      </c>
      <c r="R322" s="8">
        <v>1516.2</v>
      </c>
      <c r="S322" s="8">
        <v>1535</v>
      </c>
      <c r="T322" s="8">
        <v>2579.6</v>
      </c>
      <c r="U322" s="8">
        <v>2190.4</v>
      </c>
      <c r="V322" s="8">
        <v>18465.400000000001</v>
      </c>
    </row>
    <row r="323" spans="1:22" x14ac:dyDescent="0.15">
      <c r="A323" s="9">
        <v>39539</v>
      </c>
      <c r="B323" s="8">
        <v>6882.6</v>
      </c>
      <c r="C323" s="8">
        <v>3238.4</v>
      </c>
      <c r="D323" s="8">
        <v>1486.7</v>
      </c>
      <c r="E323" s="8">
        <v>1396.6</v>
      </c>
      <c r="F323" s="8">
        <v>2390.5</v>
      </c>
      <c r="G323" s="8">
        <v>2148.1999999999998</v>
      </c>
      <c r="H323" s="8">
        <v>17543</v>
      </c>
      <c r="I323" s="8">
        <v>7142.2</v>
      </c>
      <c r="J323" s="8">
        <v>3507.3</v>
      </c>
      <c r="K323" s="8">
        <v>1541.9</v>
      </c>
      <c r="L323" s="8">
        <v>1551.3</v>
      </c>
      <c r="M323" s="8">
        <v>2576.6999999999998</v>
      </c>
      <c r="N323" s="8">
        <v>2179.5</v>
      </c>
      <c r="O323" s="8">
        <v>18498.900000000001</v>
      </c>
      <c r="P323" s="8">
        <v>7167.5</v>
      </c>
      <c r="Q323" s="8">
        <v>3510.4</v>
      </c>
      <c r="R323" s="8">
        <v>1514.6</v>
      </c>
      <c r="S323" s="8">
        <v>1533.7</v>
      </c>
      <c r="T323" s="8">
        <v>2586.5</v>
      </c>
      <c r="U323" s="8">
        <v>2185.4</v>
      </c>
      <c r="V323" s="8">
        <v>18479</v>
      </c>
    </row>
    <row r="324" spans="1:22" x14ac:dyDescent="0.15">
      <c r="A324" s="9">
        <v>39569</v>
      </c>
      <c r="B324" s="8">
        <v>7163.6</v>
      </c>
      <c r="C324" s="8">
        <v>3349.2</v>
      </c>
      <c r="D324" s="8">
        <v>1541.9</v>
      </c>
      <c r="E324" s="8">
        <v>1421.1</v>
      </c>
      <c r="F324" s="8">
        <v>2530.9</v>
      </c>
      <c r="G324" s="8">
        <v>2176.6999999999998</v>
      </c>
      <c r="H324" s="8">
        <v>18183.5</v>
      </c>
      <c r="I324" s="8">
        <v>7196.1</v>
      </c>
      <c r="J324" s="8">
        <v>3503.4</v>
      </c>
      <c r="K324" s="8">
        <v>1511.6</v>
      </c>
      <c r="L324" s="8">
        <v>1516.8</v>
      </c>
      <c r="M324" s="8">
        <v>2609.6999999999998</v>
      </c>
      <c r="N324" s="8">
        <v>2183.6999999999998</v>
      </c>
      <c r="O324" s="8">
        <v>18521.400000000001</v>
      </c>
      <c r="P324" s="8">
        <v>7208.4</v>
      </c>
      <c r="Q324" s="8">
        <v>3503.9</v>
      </c>
      <c r="R324" s="8">
        <v>1509</v>
      </c>
      <c r="S324" s="8">
        <v>1530.6</v>
      </c>
      <c r="T324" s="8">
        <v>2588.3000000000002</v>
      </c>
      <c r="U324" s="8">
        <v>2181.4</v>
      </c>
      <c r="V324" s="8">
        <v>18497.400000000001</v>
      </c>
    </row>
    <row r="325" spans="1:22" x14ac:dyDescent="0.15">
      <c r="A325" s="9">
        <v>39600</v>
      </c>
      <c r="B325" s="8">
        <v>6761.8</v>
      </c>
      <c r="C325" s="8">
        <v>3443.7</v>
      </c>
      <c r="D325" s="8">
        <v>1402.5</v>
      </c>
      <c r="E325" s="8">
        <v>1401.6</v>
      </c>
      <c r="F325" s="8">
        <v>2378.4</v>
      </c>
      <c r="G325" s="8">
        <v>2089.9</v>
      </c>
      <c r="H325" s="8">
        <v>17477.900000000001</v>
      </c>
      <c r="I325" s="8">
        <v>7220.5</v>
      </c>
      <c r="J325" s="8">
        <v>3501.8</v>
      </c>
      <c r="K325" s="8">
        <v>1465.9</v>
      </c>
      <c r="L325" s="8">
        <v>1428.9</v>
      </c>
      <c r="M325" s="8">
        <v>2585.1</v>
      </c>
      <c r="N325" s="8">
        <v>2190.5</v>
      </c>
      <c r="O325" s="8">
        <v>18392.7</v>
      </c>
      <c r="P325" s="8">
        <v>7250.4</v>
      </c>
      <c r="Q325" s="8">
        <v>3493.3</v>
      </c>
      <c r="R325" s="8">
        <v>1506.1</v>
      </c>
      <c r="S325" s="8">
        <v>1525.5</v>
      </c>
      <c r="T325" s="8">
        <v>2587.6</v>
      </c>
      <c r="U325" s="8">
        <v>2177.9</v>
      </c>
      <c r="V325" s="8">
        <v>18519.8</v>
      </c>
    </row>
    <row r="326" spans="1:22" x14ac:dyDescent="0.15">
      <c r="A326" s="9">
        <v>39630</v>
      </c>
      <c r="B326" s="8">
        <v>7240.5</v>
      </c>
      <c r="C326" s="8">
        <v>3413.8</v>
      </c>
      <c r="D326" s="8">
        <v>1460.4</v>
      </c>
      <c r="E326" s="8">
        <v>1582.3</v>
      </c>
      <c r="F326" s="8">
        <v>2521.6999999999998</v>
      </c>
      <c r="G326" s="8">
        <v>2172.6</v>
      </c>
      <c r="H326" s="8">
        <v>18391.2</v>
      </c>
      <c r="I326" s="8">
        <v>7354.7</v>
      </c>
      <c r="J326" s="8">
        <v>3493.7</v>
      </c>
      <c r="K326" s="8">
        <v>1521.6</v>
      </c>
      <c r="L326" s="8">
        <v>1543.5</v>
      </c>
      <c r="M326" s="8">
        <v>2588.9</v>
      </c>
      <c r="N326" s="8">
        <v>2179.6999999999998</v>
      </c>
      <c r="O326" s="8">
        <v>18682.2</v>
      </c>
      <c r="P326" s="8">
        <v>7295.1</v>
      </c>
      <c r="Q326" s="8">
        <v>3476.4</v>
      </c>
      <c r="R326" s="8">
        <v>1506.9</v>
      </c>
      <c r="S326" s="8">
        <v>1519.9</v>
      </c>
      <c r="T326" s="8">
        <v>2592.3000000000002</v>
      </c>
      <c r="U326" s="8">
        <v>2175.3000000000002</v>
      </c>
      <c r="V326" s="8">
        <v>18544.900000000001</v>
      </c>
    </row>
    <row r="327" spans="1:22" x14ac:dyDescent="0.15">
      <c r="A327" s="9">
        <v>39661</v>
      </c>
      <c r="B327" s="8">
        <v>7355.4</v>
      </c>
      <c r="C327" s="8">
        <v>3411</v>
      </c>
      <c r="D327" s="8">
        <v>1419.4</v>
      </c>
      <c r="E327" s="8">
        <v>1268.4000000000001</v>
      </c>
      <c r="F327" s="8">
        <v>2540</v>
      </c>
      <c r="G327" s="8">
        <v>2204</v>
      </c>
      <c r="H327" s="8">
        <v>18198.2</v>
      </c>
      <c r="I327" s="8">
        <v>7380</v>
      </c>
      <c r="J327" s="8">
        <v>3457.4</v>
      </c>
      <c r="K327" s="8">
        <v>1521.8</v>
      </c>
      <c r="L327" s="8">
        <v>1469.7</v>
      </c>
      <c r="M327" s="8">
        <v>2600.6999999999998</v>
      </c>
      <c r="N327" s="8">
        <v>2173</v>
      </c>
      <c r="O327" s="8">
        <v>18602.599999999999</v>
      </c>
      <c r="P327" s="8">
        <v>7337.9</v>
      </c>
      <c r="Q327" s="8">
        <v>3453.7</v>
      </c>
      <c r="R327" s="8">
        <v>1508.8</v>
      </c>
      <c r="S327" s="8">
        <v>1514.9</v>
      </c>
      <c r="T327" s="8">
        <v>2594.9</v>
      </c>
      <c r="U327" s="8">
        <v>2175.6999999999998</v>
      </c>
      <c r="V327" s="8">
        <v>18575.099999999999</v>
      </c>
    </row>
    <row r="328" spans="1:22" x14ac:dyDescent="0.15">
      <c r="A328" s="9">
        <v>39692</v>
      </c>
      <c r="B328" s="8">
        <v>7095.7</v>
      </c>
      <c r="C328" s="8">
        <v>3327.8</v>
      </c>
      <c r="D328" s="8">
        <v>1468.3</v>
      </c>
      <c r="E328" s="8">
        <v>1383.3</v>
      </c>
      <c r="F328" s="8">
        <v>2485.9</v>
      </c>
      <c r="G328" s="8">
        <v>2124.1999999999998</v>
      </c>
      <c r="H328" s="8">
        <v>17885.2</v>
      </c>
      <c r="I328" s="8">
        <v>7331.3</v>
      </c>
      <c r="J328" s="8">
        <v>3407.3</v>
      </c>
      <c r="K328" s="8">
        <v>1512.3</v>
      </c>
      <c r="L328" s="8">
        <v>1534.2</v>
      </c>
      <c r="M328" s="8">
        <v>2574.8000000000002</v>
      </c>
      <c r="N328" s="8">
        <v>2161.3000000000002</v>
      </c>
      <c r="O328" s="8">
        <v>18521.099999999999</v>
      </c>
      <c r="P328" s="8">
        <v>7377.9</v>
      </c>
      <c r="Q328" s="8">
        <v>3432.2</v>
      </c>
      <c r="R328" s="8">
        <v>1512.3</v>
      </c>
      <c r="S328" s="8">
        <v>1509.8</v>
      </c>
      <c r="T328" s="8">
        <v>2604.8000000000002</v>
      </c>
      <c r="U328" s="8">
        <v>2181.4</v>
      </c>
      <c r="V328" s="8">
        <v>18620.099999999999</v>
      </c>
    </row>
    <row r="329" spans="1:22" x14ac:dyDescent="0.15">
      <c r="A329" s="9">
        <v>39722</v>
      </c>
      <c r="B329" s="8">
        <v>7642.8</v>
      </c>
      <c r="C329" s="8">
        <v>3530.5</v>
      </c>
      <c r="D329" s="8">
        <v>1547.4</v>
      </c>
      <c r="E329" s="8">
        <v>1452.4</v>
      </c>
      <c r="F329" s="8">
        <v>2668.9</v>
      </c>
      <c r="G329" s="8">
        <v>2302.4</v>
      </c>
      <c r="H329" s="8">
        <v>19144.5</v>
      </c>
      <c r="I329" s="8">
        <v>7445.8</v>
      </c>
      <c r="J329" s="8">
        <v>3431.5</v>
      </c>
      <c r="K329" s="8">
        <v>1503.9</v>
      </c>
      <c r="L329" s="8">
        <v>1501.2</v>
      </c>
      <c r="M329" s="8">
        <v>2621.5</v>
      </c>
      <c r="N329" s="8">
        <v>2199.8000000000002</v>
      </c>
      <c r="O329" s="8">
        <v>18703.8</v>
      </c>
      <c r="P329" s="8">
        <v>7483.2</v>
      </c>
      <c r="Q329" s="8">
        <v>3415.3</v>
      </c>
      <c r="R329" s="8">
        <v>1516.6</v>
      </c>
      <c r="S329" s="8">
        <v>1504.9</v>
      </c>
      <c r="T329" s="8">
        <v>2609.9</v>
      </c>
      <c r="U329" s="8">
        <v>2193.4</v>
      </c>
      <c r="V329" s="8">
        <v>18690.5</v>
      </c>
    </row>
    <row r="330" spans="1:22" x14ac:dyDescent="0.15">
      <c r="A330" s="9">
        <v>39753</v>
      </c>
      <c r="B330" s="8">
        <v>7630.1</v>
      </c>
      <c r="C330" s="8">
        <v>3595.6</v>
      </c>
      <c r="D330" s="8">
        <v>1594.1</v>
      </c>
      <c r="E330" s="8">
        <v>1675.9</v>
      </c>
      <c r="F330" s="8">
        <v>2740</v>
      </c>
      <c r="G330" s="8">
        <v>2242.8000000000002</v>
      </c>
      <c r="H330" s="8">
        <v>19478.5</v>
      </c>
      <c r="I330" s="8">
        <v>7522.3</v>
      </c>
      <c r="J330" s="8">
        <v>3388.7</v>
      </c>
      <c r="K330" s="8">
        <v>1525.8</v>
      </c>
      <c r="L330" s="8">
        <v>1491.1</v>
      </c>
      <c r="M330" s="8">
        <v>2624.9</v>
      </c>
      <c r="N330" s="8">
        <v>2208.4</v>
      </c>
      <c r="O330" s="8">
        <v>18761.2</v>
      </c>
      <c r="P330" s="8">
        <v>7541.1</v>
      </c>
      <c r="Q330" s="8">
        <v>3411.3</v>
      </c>
      <c r="R330" s="8">
        <v>1523.5</v>
      </c>
      <c r="S330" s="8">
        <v>1500.8</v>
      </c>
      <c r="T330" s="8">
        <v>2629.1</v>
      </c>
      <c r="U330" s="8">
        <v>2211.8000000000002</v>
      </c>
      <c r="V330" s="8">
        <v>18787.599999999999</v>
      </c>
    </row>
    <row r="331" spans="1:22" x14ac:dyDescent="0.15">
      <c r="A331" s="9">
        <v>39783</v>
      </c>
      <c r="B331" s="8">
        <v>8784.9</v>
      </c>
      <c r="C331" s="8">
        <v>4908.6000000000004</v>
      </c>
      <c r="D331" s="8">
        <v>2308.6999999999998</v>
      </c>
      <c r="E331" s="8">
        <v>2886.1</v>
      </c>
      <c r="F331" s="8">
        <v>3816.6</v>
      </c>
      <c r="G331" s="8">
        <v>2479.4</v>
      </c>
      <c r="H331" s="8">
        <v>25184.3</v>
      </c>
      <c r="I331" s="8">
        <v>7694.7</v>
      </c>
      <c r="J331" s="8">
        <v>3676.8</v>
      </c>
      <c r="K331" s="8">
        <v>1593.4</v>
      </c>
      <c r="L331" s="8">
        <v>1616.4</v>
      </c>
      <c r="M331" s="8">
        <v>2703.7</v>
      </c>
      <c r="N331" s="8">
        <v>2246</v>
      </c>
      <c r="O331" s="8">
        <v>19530.900000000001</v>
      </c>
      <c r="P331" s="8">
        <v>7603.1</v>
      </c>
      <c r="Q331" s="8">
        <v>3416.8</v>
      </c>
      <c r="R331" s="8">
        <v>1531.1</v>
      </c>
      <c r="S331" s="8">
        <v>1498.4</v>
      </c>
      <c r="T331" s="8">
        <v>2650</v>
      </c>
      <c r="U331" s="8">
        <v>2235.8000000000002</v>
      </c>
      <c r="V331" s="8">
        <v>18905.7</v>
      </c>
    </row>
    <row r="332" spans="1:22" x14ac:dyDescent="0.15">
      <c r="A332" s="9">
        <v>39814</v>
      </c>
      <c r="B332" s="8">
        <v>7985.3</v>
      </c>
      <c r="C332" s="8">
        <v>3560.7</v>
      </c>
      <c r="D332" s="8">
        <v>1543.2</v>
      </c>
      <c r="E332" s="8">
        <v>1451</v>
      </c>
      <c r="F332" s="8">
        <v>2525.9</v>
      </c>
      <c r="G332" s="8">
        <v>2318.3000000000002</v>
      </c>
      <c r="H332" s="8">
        <v>19384.5</v>
      </c>
      <c r="I332" s="8">
        <v>7770.6</v>
      </c>
      <c r="J332" s="8">
        <v>3548.8</v>
      </c>
      <c r="K332" s="8">
        <v>1587.7</v>
      </c>
      <c r="L332" s="8">
        <v>1583.9</v>
      </c>
      <c r="M332" s="8">
        <v>2657.3</v>
      </c>
      <c r="N332" s="8">
        <v>2317.1</v>
      </c>
      <c r="O332" s="8">
        <v>19465.5</v>
      </c>
      <c r="P332" s="8">
        <v>7664.5</v>
      </c>
      <c r="Q332" s="8">
        <v>3431.1</v>
      </c>
      <c r="R332" s="8">
        <v>1540</v>
      </c>
      <c r="S332" s="8">
        <v>1498</v>
      </c>
      <c r="T332" s="8">
        <v>2666.9</v>
      </c>
      <c r="U332" s="8">
        <v>2263.1</v>
      </c>
      <c r="V332" s="8">
        <v>19033.400000000001</v>
      </c>
    </row>
    <row r="333" spans="1:22" x14ac:dyDescent="0.15">
      <c r="A333" s="9">
        <v>39845</v>
      </c>
      <c r="B333" s="8">
        <v>7151.3</v>
      </c>
      <c r="C333" s="8">
        <v>2968.2</v>
      </c>
      <c r="D333" s="8">
        <v>1259.0999999999999</v>
      </c>
      <c r="E333" s="8">
        <v>1056.5999999999999</v>
      </c>
      <c r="F333" s="8">
        <v>2349.1</v>
      </c>
      <c r="G333" s="8">
        <v>2069.5</v>
      </c>
      <c r="H333" s="8">
        <v>16853.8</v>
      </c>
      <c r="I333" s="8">
        <v>7750.9</v>
      </c>
      <c r="J333" s="8">
        <v>3455</v>
      </c>
      <c r="K333" s="8">
        <v>1564</v>
      </c>
      <c r="L333" s="8">
        <v>1471.5</v>
      </c>
      <c r="M333" s="8">
        <v>2674.2</v>
      </c>
      <c r="N333" s="8">
        <v>2296.1999999999998</v>
      </c>
      <c r="O333" s="8">
        <v>19211.7</v>
      </c>
      <c r="P333" s="8">
        <v>7721.3</v>
      </c>
      <c r="Q333" s="8">
        <v>3450.6</v>
      </c>
      <c r="R333" s="8">
        <v>1548.9</v>
      </c>
      <c r="S333" s="8">
        <v>1498.3</v>
      </c>
      <c r="T333" s="8">
        <v>2684.7</v>
      </c>
      <c r="U333" s="8">
        <v>2291.4</v>
      </c>
      <c r="V333" s="8">
        <v>19157.400000000001</v>
      </c>
    </row>
    <row r="334" spans="1:22" x14ac:dyDescent="0.15">
      <c r="A334" s="9">
        <v>39873</v>
      </c>
      <c r="B334" s="8">
        <v>7832.4</v>
      </c>
      <c r="C334" s="8">
        <v>3301.6</v>
      </c>
      <c r="D334" s="8">
        <v>1518.6</v>
      </c>
      <c r="E334" s="8">
        <v>1386.9</v>
      </c>
      <c r="F334" s="8">
        <v>2585.3000000000002</v>
      </c>
      <c r="G334" s="8">
        <v>2303.1999999999998</v>
      </c>
      <c r="H334" s="8">
        <v>18927.900000000001</v>
      </c>
      <c r="I334" s="8">
        <v>7874.8</v>
      </c>
      <c r="J334" s="8">
        <v>3522.5</v>
      </c>
      <c r="K334" s="8">
        <v>1661.5</v>
      </c>
      <c r="L334" s="8">
        <v>1626.4</v>
      </c>
      <c r="M334" s="8">
        <v>2718.2</v>
      </c>
      <c r="N334" s="8">
        <v>2315.9</v>
      </c>
      <c r="O334" s="8">
        <v>19719.3</v>
      </c>
      <c r="P334" s="8">
        <v>7760.7</v>
      </c>
      <c r="Q334" s="8">
        <v>3470.7</v>
      </c>
      <c r="R334" s="8">
        <v>1554.9</v>
      </c>
      <c r="S334" s="8">
        <v>1501</v>
      </c>
      <c r="T334" s="8">
        <v>2699.3</v>
      </c>
      <c r="U334" s="8">
        <v>2318.3000000000002</v>
      </c>
      <c r="V334" s="8">
        <v>19264.2</v>
      </c>
    </row>
    <row r="335" spans="1:22" x14ac:dyDescent="0.15">
      <c r="A335" s="9">
        <v>39904</v>
      </c>
      <c r="B335" s="8">
        <v>7710.6</v>
      </c>
      <c r="C335" s="8">
        <v>3203.9</v>
      </c>
      <c r="D335" s="8">
        <v>1579.8</v>
      </c>
      <c r="E335" s="8">
        <v>1509.1</v>
      </c>
      <c r="F335" s="8">
        <v>2519</v>
      </c>
      <c r="G335" s="8">
        <v>2326.9</v>
      </c>
      <c r="H335" s="8">
        <v>18849.3</v>
      </c>
      <c r="I335" s="8">
        <v>7799.7</v>
      </c>
      <c r="J335" s="8">
        <v>3564</v>
      </c>
      <c r="K335" s="8">
        <v>1682</v>
      </c>
      <c r="L335" s="8">
        <v>1613</v>
      </c>
      <c r="M335" s="8">
        <v>2714.5</v>
      </c>
      <c r="N335" s="8">
        <v>2371.3000000000002</v>
      </c>
      <c r="O335" s="8">
        <v>19744.5</v>
      </c>
      <c r="P335" s="8">
        <v>7789.2</v>
      </c>
      <c r="Q335" s="8">
        <v>3490.5</v>
      </c>
      <c r="R335" s="8">
        <v>1563.9</v>
      </c>
      <c r="S335" s="8">
        <v>1506.5</v>
      </c>
      <c r="T335" s="8">
        <v>2710.7</v>
      </c>
      <c r="U335" s="8">
        <v>2342.1</v>
      </c>
      <c r="V335" s="8">
        <v>19354.7</v>
      </c>
    </row>
    <row r="336" spans="1:22" x14ac:dyDescent="0.15">
      <c r="A336" s="9">
        <v>39934</v>
      </c>
      <c r="B336" s="8">
        <v>7763.2</v>
      </c>
      <c r="C336" s="8">
        <v>3379.7</v>
      </c>
      <c r="D336" s="8">
        <v>1709.3</v>
      </c>
      <c r="E336" s="8">
        <v>1519.4</v>
      </c>
      <c r="F336" s="8">
        <v>2624.2</v>
      </c>
      <c r="G336" s="8">
        <v>2401.6999999999998</v>
      </c>
      <c r="H336" s="8">
        <v>19397.5</v>
      </c>
      <c r="I336" s="8">
        <v>7897.1</v>
      </c>
      <c r="J336" s="8">
        <v>3560.6</v>
      </c>
      <c r="K336" s="8">
        <v>1690.1</v>
      </c>
      <c r="L336" s="8">
        <v>1630.8</v>
      </c>
      <c r="M336" s="8">
        <v>2742.7</v>
      </c>
      <c r="N336" s="8">
        <v>2418.6999999999998</v>
      </c>
      <c r="O336" s="8">
        <v>19940.099999999999</v>
      </c>
      <c r="P336" s="8">
        <v>7805.3</v>
      </c>
      <c r="Q336" s="8">
        <v>3502.8</v>
      </c>
      <c r="R336" s="8">
        <v>1571.3</v>
      </c>
      <c r="S336" s="8">
        <v>1513</v>
      </c>
      <c r="T336" s="8">
        <v>2716</v>
      </c>
      <c r="U336" s="8">
        <v>2362.6</v>
      </c>
      <c r="V336" s="8">
        <v>19426.8</v>
      </c>
    </row>
    <row r="337" spans="1:22" x14ac:dyDescent="0.15">
      <c r="A337" s="9">
        <v>39965</v>
      </c>
      <c r="B337" s="8">
        <v>7399.3</v>
      </c>
      <c r="C337" s="8">
        <v>3620.6</v>
      </c>
      <c r="D337" s="8">
        <v>1568</v>
      </c>
      <c r="E337" s="8">
        <v>1500.5</v>
      </c>
      <c r="F337" s="8">
        <v>2551.6</v>
      </c>
      <c r="G337" s="8">
        <v>2263</v>
      </c>
      <c r="H337" s="8">
        <v>18902.900000000001</v>
      </c>
      <c r="I337" s="8">
        <v>7913</v>
      </c>
      <c r="J337" s="8">
        <v>3645.4</v>
      </c>
      <c r="K337" s="8">
        <v>1631.2</v>
      </c>
      <c r="L337" s="8">
        <v>1527.3</v>
      </c>
      <c r="M337" s="8">
        <v>2734.7</v>
      </c>
      <c r="N337" s="8">
        <v>2381.3000000000002</v>
      </c>
      <c r="O337" s="8">
        <v>19832.900000000001</v>
      </c>
      <c r="P337" s="8">
        <v>7819.7</v>
      </c>
      <c r="Q337" s="8">
        <v>3508.9</v>
      </c>
      <c r="R337" s="8">
        <v>1581</v>
      </c>
      <c r="S337" s="8">
        <v>1522.2</v>
      </c>
      <c r="T337" s="8">
        <v>2715.8</v>
      </c>
      <c r="U337" s="8">
        <v>2381.4</v>
      </c>
      <c r="V337" s="8">
        <v>19490.599999999999</v>
      </c>
    </row>
    <row r="338" spans="1:22" x14ac:dyDescent="0.15">
      <c r="A338" s="9">
        <v>39995</v>
      </c>
      <c r="B338" s="8">
        <v>7725.6</v>
      </c>
      <c r="C338" s="8">
        <v>3452.3</v>
      </c>
      <c r="D338" s="8">
        <v>1514.7</v>
      </c>
      <c r="E338" s="8">
        <v>1570.7</v>
      </c>
      <c r="F338" s="8">
        <v>2682.3</v>
      </c>
      <c r="G338" s="8">
        <v>2415.1</v>
      </c>
      <c r="H338" s="8">
        <v>19360.599999999999</v>
      </c>
      <c r="I338" s="8">
        <v>7799.4</v>
      </c>
      <c r="J338" s="8">
        <v>3529.3</v>
      </c>
      <c r="K338" s="8">
        <v>1600.1</v>
      </c>
      <c r="L338" s="8">
        <v>1541.8</v>
      </c>
      <c r="M338" s="8">
        <v>2731.9</v>
      </c>
      <c r="N338" s="8">
        <v>2391.1</v>
      </c>
      <c r="O338" s="8">
        <v>19593.599999999999</v>
      </c>
      <c r="P338" s="8">
        <v>7839.7</v>
      </c>
      <c r="Q338" s="8">
        <v>3512.2</v>
      </c>
      <c r="R338" s="8">
        <v>1593.2</v>
      </c>
      <c r="S338" s="8">
        <v>1532.2</v>
      </c>
      <c r="T338" s="8">
        <v>2712.2</v>
      </c>
      <c r="U338" s="8">
        <v>2404.3000000000002</v>
      </c>
      <c r="V338" s="8">
        <v>19561.2</v>
      </c>
    </row>
    <row r="339" spans="1:22" x14ac:dyDescent="0.15">
      <c r="A339" s="9">
        <v>40026</v>
      </c>
      <c r="B339" s="8">
        <v>7807.5</v>
      </c>
      <c r="C339" s="8">
        <v>3467.7</v>
      </c>
      <c r="D339" s="8">
        <v>1498.2</v>
      </c>
      <c r="E339" s="8">
        <v>1341.5</v>
      </c>
      <c r="F339" s="8">
        <v>2595.8000000000002</v>
      </c>
      <c r="G339" s="8">
        <v>2446.1</v>
      </c>
      <c r="H339" s="8">
        <v>19156.7</v>
      </c>
      <c r="I339" s="8">
        <v>7858.1</v>
      </c>
      <c r="J339" s="8">
        <v>3525.8</v>
      </c>
      <c r="K339" s="8">
        <v>1614.5</v>
      </c>
      <c r="L339" s="8">
        <v>1558.8</v>
      </c>
      <c r="M339" s="8">
        <v>2673.9</v>
      </c>
      <c r="N339" s="8">
        <v>2428.1999999999998</v>
      </c>
      <c r="O339" s="8">
        <v>19659.3</v>
      </c>
      <c r="P339" s="8">
        <v>7864.6</v>
      </c>
      <c r="Q339" s="8">
        <v>3516</v>
      </c>
      <c r="R339" s="8">
        <v>1603</v>
      </c>
      <c r="S339" s="8">
        <v>1542.6</v>
      </c>
      <c r="T339" s="8">
        <v>2706.1</v>
      </c>
      <c r="U339" s="8">
        <v>2431.6</v>
      </c>
      <c r="V339" s="8">
        <v>19650.099999999999</v>
      </c>
    </row>
    <row r="340" spans="1:22" x14ac:dyDescent="0.15">
      <c r="A340" s="9">
        <v>40057</v>
      </c>
      <c r="B340" s="8">
        <v>7635.8</v>
      </c>
      <c r="C340" s="8">
        <v>3406.1</v>
      </c>
      <c r="D340" s="8">
        <v>1537.2</v>
      </c>
      <c r="E340" s="8">
        <v>1399.9</v>
      </c>
      <c r="F340" s="8">
        <v>2620.5</v>
      </c>
      <c r="G340" s="8">
        <v>2430.6999999999998</v>
      </c>
      <c r="H340" s="8">
        <v>19030.3</v>
      </c>
      <c r="I340" s="8">
        <v>7899.1</v>
      </c>
      <c r="J340" s="8">
        <v>3475.8</v>
      </c>
      <c r="K340" s="8">
        <v>1598.4</v>
      </c>
      <c r="L340" s="8">
        <v>1527.3</v>
      </c>
      <c r="M340" s="8">
        <v>2694.4</v>
      </c>
      <c r="N340" s="8">
        <v>2454.3000000000002</v>
      </c>
      <c r="O340" s="8">
        <v>19649.3</v>
      </c>
      <c r="P340" s="8">
        <v>7897.4</v>
      </c>
      <c r="Q340" s="8">
        <v>3523.7</v>
      </c>
      <c r="R340" s="8">
        <v>1610.7</v>
      </c>
      <c r="S340" s="8">
        <v>1553.6</v>
      </c>
      <c r="T340" s="8">
        <v>2708.2</v>
      </c>
      <c r="U340" s="8">
        <v>2463.3000000000002</v>
      </c>
      <c r="V340" s="8">
        <v>19752.8</v>
      </c>
    </row>
    <row r="341" spans="1:22" x14ac:dyDescent="0.15">
      <c r="A341" s="9">
        <v>40087</v>
      </c>
      <c r="B341" s="8">
        <v>8109.7</v>
      </c>
      <c r="C341" s="8">
        <v>3641.4</v>
      </c>
      <c r="D341" s="8">
        <v>1631.4</v>
      </c>
      <c r="E341" s="8">
        <v>1534.3</v>
      </c>
      <c r="F341" s="8">
        <v>2775.7</v>
      </c>
      <c r="G341" s="8">
        <v>2602</v>
      </c>
      <c r="H341" s="8">
        <v>20294.599999999999</v>
      </c>
      <c r="I341" s="8">
        <v>7859.9</v>
      </c>
      <c r="J341" s="8">
        <v>3515</v>
      </c>
      <c r="K341" s="8">
        <v>1594.9</v>
      </c>
      <c r="L341" s="8">
        <v>1581.4</v>
      </c>
      <c r="M341" s="8">
        <v>2709.9</v>
      </c>
      <c r="N341" s="8">
        <v>2493.1</v>
      </c>
      <c r="O341" s="8">
        <v>19754.099999999999</v>
      </c>
      <c r="P341" s="8">
        <v>7923.3</v>
      </c>
      <c r="Q341" s="8">
        <v>3530.8</v>
      </c>
      <c r="R341" s="8">
        <v>1611.7</v>
      </c>
      <c r="S341" s="8">
        <v>1564</v>
      </c>
      <c r="T341" s="8">
        <v>2717.3</v>
      </c>
      <c r="U341" s="8">
        <v>2495.9</v>
      </c>
      <c r="V341" s="8">
        <v>19848.3</v>
      </c>
    </row>
    <row r="342" spans="1:22" x14ac:dyDescent="0.15">
      <c r="A342" s="9">
        <v>40118</v>
      </c>
      <c r="B342" s="8">
        <v>8204</v>
      </c>
      <c r="C342" s="8">
        <v>3787.3</v>
      </c>
      <c r="D342" s="8">
        <v>1692.5</v>
      </c>
      <c r="E342" s="8">
        <v>1736.6</v>
      </c>
      <c r="F342" s="8">
        <v>2849.8</v>
      </c>
      <c r="G342" s="8">
        <v>2569.9</v>
      </c>
      <c r="H342" s="8">
        <v>20840.099999999999</v>
      </c>
      <c r="I342" s="8">
        <v>8033.1</v>
      </c>
      <c r="J342" s="8">
        <v>3585.4</v>
      </c>
      <c r="K342" s="8">
        <v>1659.9</v>
      </c>
      <c r="L342" s="8">
        <v>1586.5</v>
      </c>
      <c r="M342" s="8">
        <v>2735.3</v>
      </c>
      <c r="N342" s="8">
        <v>2534.4</v>
      </c>
      <c r="O342" s="8">
        <v>20134.599999999999</v>
      </c>
      <c r="P342" s="8">
        <v>7938.7</v>
      </c>
      <c r="Q342" s="8">
        <v>3536.4</v>
      </c>
      <c r="R342" s="8">
        <v>1617.7</v>
      </c>
      <c r="S342" s="8">
        <v>1570.9</v>
      </c>
      <c r="T342" s="8">
        <v>2727.8</v>
      </c>
      <c r="U342" s="8">
        <v>2526.1</v>
      </c>
      <c r="V342" s="8">
        <v>19921.7</v>
      </c>
    </row>
    <row r="343" spans="1:22" x14ac:dyDescent="0.15">
      <c r="A343" s="9">
        <v>40148</v>
      </c>
      <c r="B343" s="8">
        <v>9249</v>
      </c>
      <c r="C343" s="8">
        <v>4706</v>
      </c>
      <c r="D343" s="8">
        <v>2493.6</v>
      </c>
      <c r="E343" s="8">
        <v>2795.1</v>
      </c>
      <c r="F343" s="8">
        <v>3817.7</v>
      </c>
      <c r="G343" s="8">
        <v>2897.1</v>
      </c>
      <c r="H343" s="8">
        <v>25958.5</v>
      </c>
      <c r="I343" s="8">
        <v>7982.9</v>
      </c>
      <c r="J343" s="8">
        <v>3533.2</v>
      </c>
      <c r="K343" s="8">
        <v>1590.9</v>
      </c>
      <c r="L343" s="8">
        <v>1535.6</v>
      </c>
      <c r="M343" s="8">
        <v>2758</v>
      </c>
      <c r="N343" s="8">
        <v>2591</v>
      </c>
      <c r="O343" s="8">
        <v>19991.5</v>
      </c>
      <c r="P343" s="8">
        <v>7944</v>
      </c>
      <c r="Q343" s="8">
        <v>3544</v>
      </c>
      <c r="R343" s="8">
        <v>1613</v>
      </c>
      <c r="S343" s="8">
        <v>1572.2</v>
      </c>
      <c r="T343" s="8">
        <v>2740.7</v>
      </c>
      <c r="U343" s="8">
        <v>2551</v>
      </c>
      <c r="V343" s="8">
        <v>19969.400000000001</v>
      </c>
    </row>
    <row r="344" spans="1:22" x14ac:dyDescent="0.15">
      <c r="A344" s="9">
        <v>40179</v>
      </c>
      <c r="B344" s="8">
        <v>8093.4</v>
      </c>
      <c r="C344" s="8">
        <v>3561</v>
      </c>
      <c r="D344" s="8">
        <v>1545.9</v>
      </c>
      <c r="E344" s="8">
        <v>1469.1</v>
      </c>
      <c r="F344" s="8">
        <v>2601.3000000000002</v>
      </c>
      <c r="G344" s="8">
        <v>2521.3000000000002</v>
      </c>
      <c r="H344" s="8">
        <v>19792</v>
      </c>
      <c r="I344" s="8">
        <v>7956.4</v>
      </c>
      <c r="J344" s="8">
        <v>3568.5</v>
      </c>
      <c r="K344" s="8">
        <v>1625.6</v>
      </c>
      <c r="L344" s="8">
        <v>1604.2</v>
      </c>
      <c r="M344" s="8">
        <v>2759.6</v>
      </c>
      <c r="N344" s="8">
        <v>2539</v>
      </c>
      <c r="O344" s="8">
        <v>20053.3</v>
      </c>
      <c r="P344" s="8">
        <v>7947.4</v>
      </c>
      <c r="Q344" s="8">
        <v>3551.1</v>
      </c>
      <c r="R344" s="8">
        <v>1608.8</v>
      </c>
      <c r="S344" s="8">
        <v>1568.3</v>
      </c>
      <c r="T344" s="8">
        <v>2752.2</v>
      </c>
      <c r="U344" s="8">
        <v>2568</v>
      </c>
      <c r="V344" s="8">
        <v>19995.3</v>
      </c>
    </row>
    <row r="345" spans="1:22" x14ac:dyDescent="0.15">
      <c r="A345" s="9">
        <v>40210</v>
      </c>
      <c r="B345" s="8">
        <v>7243.1</v>
      </c>
      <c r="C345" s="8">
        <v>3052.5</v>
      </c>
      <c r="D345" s="8">
        <v>1273.5999999999999</v>
      </c>
      <c r="E345" s="8">
        <v>1111.9000000000001</v>
      </c>
      <c r="F345" s="8">
        <v>2426.4</v>
      </c>
      <c r="G345" s="8">
        <v>2323.9</v>
      </c>
      <c r="H345" s="8">
        <v>17431.5</v>
      </c>
      <c r="I345" s="8">
        <v>7857.9</v>
      </c>
      <c r="J345" s="8">
        <v>3556.6</v>
      </c>
      <c r="K345" s="8">
        <v>1590.4</v>
      </c>
      <c r="L345" s="8">
        <v>1551.6</v>
      </c>
      <c r="M345" s="8">
        <v>2752.3</v>
      </c>
      <c r="N345" s="8">
        <v>2582.9</v>
      </c>
      <c r="O345" s="8">
        <v>19891.8</v>
      </c>
      <c r="P345" s="8">
        <v>7953.9</v>
      </c>
      <c r="Q345" s="8">
        <v>3557.9</v>
      </c>
      <c r="R345" s="8">
        <v>1605.8</v>
      </c>
      <c r="S345" s="8">
        <v>1561.6</v>
      </c>
      <c r="T345" s="8">
        <v>2758.6</v>
      </c>
      <c r="U345" s="8">
        <v>2575.6999999999998</v>
      </c>
      <c r="V345" s="8">
        <v>20013.900000000001</v>
      </c>
    </row>
    <row r="346" spans="1:22" x14ac:dyDescent="0.15">
      <c r="A346" s="9">
        <v>40238</v>
      </c>
      <c r="B346" s="8">
        <v>8017.8</v>
      </c>
      <c r="C346" s="8">
        <v>3322.8</v>
      </c>
      <c r="D346" s="8">
        <v>1452.3</v>
      </c>
      <c r="E346" s="8">
        <v>1379.9</v>
      </c>
      <c r="F346" s="8">
        <v>2709.9</v>
      </c>
      <c r="G346" s="8">
        <v>2607.5</v>
      </c>
      <c r="H346" s="8">
        <v>19490.3</v>
      </c>
      <c r="I346" s="8">
        <v>7919.6</v>
      </c>
      <c r="J346" s="8">
        <v>3501.7</v>
      </c>
      <c r="K346" s="8">
        <v>1597.9</v>
      </c>
      <c r="L346" s="8">
        <v>1565.9</v>
      </c>
      <c r="M346" s="8">
        <v>2763.9</v>
      </c>
      <c r="N346" s="8">
        <v>2590.8000000000002</v>
      </c>
      <c r="O346" s="8">
        <v>19939.8</v>
      </c>
      <c r="P346" s="8">
        <v>7971.9</v>
      </c>
      <c r="Q346" s="8">
        <v>3565.1</v>
      </c>
      <c r="R346" s="8">
        <v>1607.3</v>
      </c>
      <c r="S346" s="8">
        <v>1553.5</v>
      </c>
      <c r="T346" s="8">
        <v>2761.3</v>
      </c>
      <c r="U346" s="8">
        <v>2586.1</v>
      </c>
      <c r="V346" s="8">
        <v>20044.7</v>
      </c>
    </row>
    <row r="347" spans="1:22" x14ac:dyDescent="0.15">
      <c r="A347" s="9">
        <v>40269</v>
      </c>
      <c r="B347" s="8">
        <v>7835.6</v>
      </c>
      <c r="C347" s="8">
        <v>3213.8</v>
      </c>
      <c r="D347" s="8">
        <v>1507.5</v>
      </c>
      <c r="E347" s="8">
        <v>1389.7</v>
      </c>
      <c r="F347" s="8">
        <v>2549.6</v>
      </c>
      <c r="G347" s="8">
        <v>2535.8000000000002</v>
      </c>
      <c r="H347" s="8">
        <v>19032</v>
      </c>
      <c r="I347" s="8">
        <v>8051.6</v>
      </c>
      <c r="J347" s="8">
        <v>3607.5</v>
      </c>
      <c r="K347" s="8">
        <v>1611.6</v>
      </c>
      <c r="L347" s="8">
        <v>1527.1</v>
      </c>
      <c r="M347" s="8">
        <v>2764.4</v>
      </c>
      <c r="N347" s="8">
        <v>2597.9</v>
      </c>
      <c r="O347" s="8">
        <v>20160.2</v>
      </c>
      <c r="P347" s="8">
        <v>7999.6</v>
      </c>
      <c r="Q347" s="8">
        <v>3569.3</v>
      </c>
      <c r="R347" s="8">
        <v>1613.1</v>
      </c>
      <c r="S347" s="8">
        <v>1547.6</v>
      </c>
      <c r="T347" s="8">
        <v>2769.5</v>
      </c>
      <c r="U347" s="8">
        <v>2609.9</v>
      </c>
      <c r="V347" s="8">
        <v>20106.7</v>
      </c>
    </row>
    <row r="348" spans="1:22" x14ac:dyDescent="0.15">
      <c r="A348" s="9">
        <v>40299</v>
      </c>
      <c r="B348" s="8">
        <v>7887.6</v>
      </c>
      <c r="C348" s="8">
        <v>3360.1</v>
      </c>
      <c r="D348" s="8">
        <v>1653.6</v>
      </c>
      <c r="E348" s="8">
        <v>1427.2</v>
      </c>
      <c r="F348" s="8">
        <v>2633.7</v>
      </c>
      <c r="G348" s="8">
        <v>2571.4</v>
      </c>
      <c r="H348" s="8">
        <v>19533.599999999999</v>
      </c>
      <c r="I348" s="8">
        <v>8066.6</v>
      </c>
      <c r="J348" s="8">
        <v>3571.5</v>
      </c>
      <c r="K348" s="8">
        <v>1633.2</v>
      </c>
      <c r="L348" s="8">
        <v>1533.8</v>
      </c>
      <c r="M348" s="8">
        <v>2773.1</v>
      </c>
      <c r="N348" s="8">
        <v>2622.3</v>
      </c>
      <c r="O348" s="8">
        <v>20200.599999999999</v>
      </c>
      <c r="P348" s="8">
        <v>8031.5</v>
      </c>
      <c r="Q348" s="8">
        <v>3571.2</v>
      </c>
      <c r="R348" s="8">
        <v>1624.8</v>
      </c>
      <c r="S348" s="8">
        <v>1545.2</v>
      </c>
      <c r="T348" s="8">
        <v>2781</v>
      </c>
      <c r="U348" s="8">
        <v>2643.2</v>
      </c>
      <c r="V348" s="8">
        <v>20195.7</v>
      </c>
    </row>
    <row r="349" spans="1:22" x14ac:dyDescent="0.15">
      <c r="A349" s="9">
        <v>40330</v>
      </c>
      <c r="B349" s="8">
        <v>7527.9</v>
      </c>
      <c r="C349" s="8">
        <v>3591.7</v>
      </c>
      <c r="D349" s="8">
        <v>1558.6</v>
      </c>
      <c r="E349" s="8">
        <v>1551.4</v>
      </c>
      <c r="F349" s="8">
        <v>2604.6</v>
      </c>
      <c r="G349" s="8">
        <v>2504.9</v>
      </c>
      <c r="H349" s="8">
        <v>19339.099999999999</v>
      </c>
      <c r="I349" s="8">
        <v>8066.4</v>
      </c>
      <c r="J349" s="8">
        <v>3617.9</v>
      </c>
      <c r="K349" s="8">
        <v>1622.6</v>
      </c>
      <c r="L349" s="8">
        <v>1553.1</v>
      </c>
      <c r="M349" s="8">
        <v>2786.2</v>
      </c>
      <c r="N349" s="8">
        <v>2631.5</v>
      </c>
      <c r="O349" s="8">
        <v>20277.7</v>
      </c>
      <c r="P349" s="8">
        <v>8057</v>
      </c>
      <c r="Q349" s="8">
        <v>3567.8</v>
      </c>
      <c r="R349" s="8">
        <v>1636.3</v>
      </c>
      <c r="S349" s="8">
        <v>1545.4</v>
      </c>
      <c r="T349" s="8">
        <v>2800.8</v>
      </c>
      <c r="U349" s="8">
        <v>2680.5</v>
      </c>
      <c r="V349" s="8">
        <v>20285</v>
      </c>
    </row>
    <row r="350" spans="1:22" x14ac:dyDescent="0.15">
      <c r="A350" s="9">
        <v>40360</v>
      </c>
      <c r="B350" s="8">
        <v>8044.4</v>
      </c>
      <c r="C350" s="8">
        <v>3480.7</v>
      </c>
      <c r="D350" s="8">
        <v>1579</v>
      </c>
      <c r="E350" s="8">
        <v>1581</v>
      </c>
      <c r="F350" s="8">
        <v>2765.1</v>
      </c>
      <c r="G350" s="8">
        <v>2781.3</v>
      </c>
      <c r="H350" s="8">
        <v>20231.599999999999</v>
      </c>
      <c r="I350" s="8">
        <v>8085.7</v>
      </c>
      <c r="J350" s="8">
        <v>3538</v>
      </c>
      <c r="K350" s="8">
        <v>1652.8</v>
      </c>
      <c r="L350" s="8">
        <v>1551.9</v>
      </c>
      <c r="M350" s="8">
        <v>2804.9</v>
      </c>
      <c r="N350" s="8">
        <v>2752.3</v>
      </c>
      <c r="O350" s="8">
        <v>20385.599999999999</v>
      </c>
      <c r="P350" s="8">
        <v>8068</v>
      </c>
      <c r="Q350" s="8">
        <v>3564.5</v>
      </c>
      <c r="R350" s="8">
        <v>1639.7</v>
      </c>
      <c r="S350" s="8">
        <v>1546.8</v>
      </c>
      <c r="T350" s="8">
        <v>2818.2</v>
      </c>
      <c r="U350" s="8">
        <v>2706.3</v>
      </c>
      <c r="V350" s="8">
        <v>20346.900000000001</v>
      </c>
    </row>
    <row r="351" spans="1:22" x14ac:dyDescent="0.15">
      <c r="A351" s="9">
        <v>40391</v>
      </c>
      <c r="B351" s="8">
        <v>7924.7</v>
      </c>
      <c r="C351" s="8">
        <v>3497.8</v>
      </c>
      <c r="D351" s="8">
        <v>1511</v>
      </c>
      <c r="E351" s="8">
        <v>1324</v>
      </c>
      <c r="F351" s="8">
        <v>2803.4</v>
      </c>
      <c r="G351" s="8">
        <v>2800</v>
      </c>
      <c r="H351" s="8">
        <v>19860.8</v>
      </c>
      <c r="I351" s="8">
        <v>8052.4</v>
      </c>
      <c r="J351" s="8">
        <v>3537.9</v>
      </c>
      <c r="K351" s="8">
        <v>1645.5</v>
      </c>
      <c r="L351" s="8">
        <v>1555.1</v>
      </c>
      <c r="M351" s="8">
        <v>2878.7</v>
      </c>
      <c r="N351" s="8">
        <v>2772.8</v>
      </c>
      <c r="O351" s="8">
        <v>20442.5</v>
      </c>
      <c r="P351" s="8">
        <v>8065.6</v>
      </c>
      <c r="Q351" s="8">
        <v>3563.5</v>
      </c>
      <c r="R351" s="8">
        <v>1642.5</v>
      </c>
      <c r="S351" s="8">
        <v>1547.8</v>
      </c>
      <c r="T351" s="8">
        <v>2834.6</v>
      </c>
      <c r="U351" s="8">
        <v>2717.5</v>
      </c>
      <c r="V351" s="8">
        <v>20376.2</v>
      </c>
    </row>
    <row r="352" spans="1:22" x14ac:dyDescent="0.15">
      <c r="A352" s="9">
        <v>40422</v>
      </c>
      <c r="B352" s="8">
        <v>7855.4</v>
      </c>
      <c r="C352" s="8">
        <v>3476.1</v>
      </c>
      <c r="D352" s="8">
        <v>1610.1</v>
      </c>
      <c r="E352" s="8">
        <v>1422</v>
      </c>
      <c r="F352" s="8">
        <v>2809.9</v>
      </c>
      <c r="G352" s="8">
        <v>2742.8</v>
      </c>
      <c r="H352" s="8">
        <v>19916.3</v>
      </c>
      <c r="I352" s="8">
        <v>8044.5</v>
      </c>
      <c r="J352" s="8">
        <v>3541.8</v>
      </c>
      <c r="K352" s="8">
        <v>1666.9</v>
      </c>
      <c r="L352" s="8">
        <v>1551.3</v>
      </c>
      <c r="M352" s="8">
        <v>2868.8</v>
      </c>
      <c r="N352" s="8">
        <v>2756.1</v>
      </c>
      <c r="O352" s="8">
        <v>20429.400000000001</v>
      </c>
      <c r="P352" s="8">
        <v>8066.7</v>
      </c>
      <c r="Q352" s="8">
        <v>3567.9</v>
      </c>
      <c r="R352" s="8">
        <v>1634.8</v>
      </c>
      <c r="S352" s="8">
        <v>1546.6</v>
      </c>
      <c r="T352" s="8">
        <v>2849.2</v>
      </c>
      <c r="U352" s="8">
        <v>2713.3</v>
      </c>
      <c r="V352" s="8">
        <v>20380.7</v>
      </c>
    </row>
    <row r="353" spans="1:22" x14ac:dyDescent="0.15">
      <c r="A353" s="9">
        <v>40452</v>
      </c>
      <c r="B353" s="8">
        <v>8239.5</v>
      </c>
      <c r="C353" s="8">
        <v>3692.1</v>
      </c>
      <c r="D353" s="8">
        <v>1594.6</v>
      </c>
      <c r="E353" s="8">
        <v>1464.9</v>
      </c>
      <c r="F353" s="8">
        <v>2854.1</v>
      </c>
      <c r="G353" s="8">
        <v>2730.2</v>
      </c>
      <c r="H353" s="8">
        <v>20575.400000000001</v>
      </c>
      <c r="I353" s="8">
        <v>8076.8</v>
      </c>
      <c r="J353" s="8">
        <v>3582</v>
      </c>
      <c r="K353" s="8">
        <v>1591.7</v>
      </c>
      <c r="L353" s="8">
        <v>1525.1</v>
      </c>
      <c r="M353" s="8">
        <v>2836.3</v>
      </c>
      <c r="N353" s="8">
        <v>2625.7</v>
      </c>
      <c r="O353" s="8">
        <v>20237.599999999999</v>
      </c>
      <c r="P353" s="8">
        <v>8085.7</v>
      </c>
      <c r="Q353" s="8">
        <v>3571.7</v>
      </c>
      <c r="R353" s="8">
        <v>1627.5</v>
      </c>
      <c r="S353" s="8">
        <v>1543</v>
      </c>
      <c r="T353" s="8">
        <v>2857.9</v>
      </c>
      <c r="U353" s="8">
        <v>2697.4</v>
      </c>
      <c r="V353" s="8">
        <v>20376.599999999999</v>
      </c>
    </row>
    <row r="354" spans="1:22" x14ac:dyDescent="0.15">
      <c r="A354" s="9">
        <v>40483</v>
      </c>
      <c r="B354" s="8">
        <v>8288.1</v>
      </c>
      <c r="C354" s="8">
        <v>3831</v>
      </c>
      <c r="D354" s="8">
        <v>1656.3</v>
      </c>
      <c r="E354" s="8">
        <v>1705.5</v>
      </c>
      <c r="F354" s="8">
        <v>2998.3</v>
      </c>
      <c r="G354" s="8">
        <v>2684.4</v>
      </c>
      <c r="H354" s="8">
        <v>21163.7</v>
      </c>
      <c r="I354" s="8">
        <v>8113.1</v>
      </c>
      <c r="J354" s="8">
        <v>3597.4</v>
      </c>
      <c r="K354" s="8">
        <v>1613</v>
      </c>
      <c r="L354" s="8">
        <v>1556</v>
      </c>
      <c r="M354" s="8">
        <v>2848.2</v>
      </c>
      <c r="N354" s="8">
        <v>2644</v>
      </c>
      <c r="O354" s="8">
        <v>20371.8</v>
      </c>
      <c r="P354" s="8">
        <v>8123.2</v>
      </c>
      <c r="Q354" s="8">
        <v>3573.6</v>
      </c>
      <c r="R354" s="8">
        <v>1613.7</v>
      </c>
      <c r="S354" s="8">
        <v>1538.4</v>
      </c>
      <c r="T354" s="8">
        <v>2859.9</v>
      </c>
      <c r="U354" s="8">
        <v>2674.3</v>
      </c>
      <c r="V354" s="8">
        <v>20380.900000000001</v>
      </c>
    </row>
    <row r="355" spans="1:22" x14ac:dyDescent="0.15">
      <c r="A355" s="9">
        <v>40513</v>
      </c>
      <c r="B355" s="8">
        <v>9491.7999999999993</v>
      </c>
      <c r="C355" s="8">
        <v>4839.5</v>
      </c>
      <c r="D355" s="8">
        <v>2546.8000000000002</v>
      </c>
      <c r="E355" s="8">
        <v>2752.4</v>
      </c>
      <c r="F355" s="8">
        <v>3947.6</v>
      </c>
      <c r="G355" s="8">
        <v>3021.1</v>
      </c>
      <c r="H355" s="8">
        <v>26599.200000000001</v>
      </c>
      <c r="I355" s="8">
        <v>8124.2</v>
      </c>
      <c r="J355" s="8">
        <v>3645.6</v>
      </c>
      <c r="K355" s="8">
        <v>1624.5</v>
      </c>
      <c r="L355" s="8">
        <v>1516.7</v>
      </c>
      <c r="M355" s="8">
        <v>2857.8</v>
      </c>
      <c r="N355" s="8">
        <v>2679.4</v>
      </c>
      <c r="O355" s="8">
        <v>20448.3</v>
      </c>
      <c r="P355" s="8">
        <v>8167.7</v>
      </c>
      <c r="Q355" s="8">
        <v>3570.6</v>
      </c>
      <c r="R355" s="8">
        <v>1605.8</v>
      </c>
      <c r="S355" s="8">
        <v>1536.8</v>
      </c>
      <c r="T355" s="8">
        <v>2864.5</v>
      </c>
      <c r="U355" s="8">
        <v>2654.4</v>
      </c>
      <c r="V355" s="8">
        <v>20405.8</v>
      </c>
    </row>
    <row r="356" spans="1:22" x14ac:dyDescent="0.15">
      <c r="A356" s="9">
        <v>40544</v>
      </c>
      <c r="B356" s="8">
        <v>8403.6</v>
      </c>
      <c r="C356" s="8">
        <v>3458.3</v>
      </c>
      <c r="D356" s="8">
        <v>1499</v>
      </c>
      <c r="E356" s="8">
        <v>1412.6</v>
      </c>
      <c r="F356" s="8">
        <v>2692</v>
      </c>
      <c r="G356" s="8">
        <v>2598.1999999999998</v>
      </c>
      <c r="H356" s="8">
        <v>20063.7</v>
      </c>
      <c r="I356" s="8">
        <v>8276.1</v>
      </c>
      <c r="J356" s="8">
        <v>3496.2</v>
      </c>
      <c r="K356" s="8">
        <v>1575.6</v>
      </c>
      <c r="L356" s="8">
        <v>1545.4</v>
      </c>
      <c r="M356" s="8">
        <v>2896.6</v>
      </c>
      <c r="N356" s="8">
        <v>2645.9</v>
      </c>
      <c r="O356" s="8">
        <v>20435.8</v>
      </c>
      <c r="P356" s="8">
        <v>8215.5</v>
      </c>
      <c r="Q356" s="8">
        <v>3571.5</v>
      </c>
      <c r="R356" s="8">
        <v>1604.6</v>
      </c>
      <c r="S356" s="8">
        <v>1537</v>
      </c>
      <c r="T356" s="8">
        <v>2876.4</v>
      </c>
      <c r="U356" s="8">
        <v>2645.1</v>
      </c>
      <c r="V356" s="8">
        <v>20451.3</v>
      </c>
    </row>
    <row r="357" spans="1:22" x14ac:dyDescent="0.15">
      <c r="A357" s="9">
        <v>40575</v>
      </c>
      <c r="B357" s="8">
        <v>7649.6</v>
      </c>
      <c r="C357" s="8">
        <v>3065.6</v>
      </c>
      <c r="D357" s="8">
        <v>1291.8</v>
      </c>
      <c r="E357" s="8">
        <v>1117.5</v>
      </c>
      <c r="F357" s="8">
        <v>2563.6</v>
      </c>
      <c r="G357" s="8">
        <v>2391.3000000000002</v>
      </c>
      <c r="H357" s="8">
        <v>18079.3</v>
      </c>
      <c r="I357" s="8">
        <v>8297.1</v>
      </c>
      <c r="J357" s="8">
        <v>3571.3</v>
      </c>
      <c r="K357" s="8">
        <v>1623.7</v>
      </c>
      <c r="L357" s="8">
        <v>1562.6</v>
      </c>
      <c r="M357" s="8">
        <v>2910.9</v>
      </c>
      <c r="N357" s="8">
        <v>2668.6</v>
      </c>
      <c r="O357" s="8">
        <v>20634.3</v>
      </c>
      <c r="P357" s="8">
        <v>8251.5</v>
      </c>
      <c r="Q357" s="8">
        <v>3567.6</v>
      </c>
      <c r="R357" s="8">
        <v>1610.5</v>
      </c>
      <c r="S357" s="8">
        <v>1536.6</v>
      </c>
      <c r="T357" s="8">
        <v>2895.4</v>
      </c>
      <c r="U357" s="8">
        <v>2644</v>
      </c>
      <c r="V357" s="8">
        <v>20506.099999999999</v>
      </c>
    </row>
    <row r="358" spans="1:22" x14ac:dyDescent="0.15">
      <c r="A358" s="9">
        <v>40603</v>
      </c>
      <c r="B358" s="8">
        <v>8285</v>
      </c>
      <c r="C358" s="8">
        <v>3365.1</v>
      </c>
      <c r="D358" s="8">
        <v>1478.2</v>
      </c>
      <c r="E358" s="8">
        <v>1321.6</v>
      </c>
      <c r="F358" s="8">
        <v>2835</v>
      </c>
      <c r="G358" s="8">
        <v>2648.9</v>
      </c>
      <c r="H358" s="8">
        <v>19933.8</v>
      </c>
      <c r="I358" s="8">
        <v>8255.7000000000007</v>
      </c>
      <c r="J358" s="8">
        <v>3565.5</v>
      </c>
      <c r="K358" s="8">
        <v>1616.9</v>
      </c>
      <c r="L358" s="8">
        <v>1506.8</v>
      </c>
      <c r="M358" s="8">
        <v>2924.2</v>
      </c>
      <c r="N358" s="8">
        <v>2645.8</v>
      </c>
      <c r="O358" s="8">
        <v>20514.900000000001</v>
      </c>
      <c r="P358" s="8">
        <v>8280.2000000000007</v>
      </c>
      <c r="Q358" s="8">
        <v>3567.2</v>
      </c>
      <c r="R358" s="8">
        <v>1615.1</v>
      </c>
      <c r="S358" s="8">
        <v>1534.2</v>
      </c>
      <c r="T358" s="8">
        <v>2919.3</v>
      </c>
      <c r="U358" s="8">
        <v>2644.7</v>
      </c>
      <c r="V358" s="8">
        <v>20560</v>
      </c>
    </row>
    <row r="359" spans="1:22" x14ac:dyDescent="0.15">
      <c r="A359" s="9">
        <v>40634</v>
      </c>
      <c r="B359" s="8">
        <v>8211.2999999999993</v>
      </c>
      <c r="C359" s="8">
        <v>3253.1</v>
      </c>
      <c r="D359" s="8">
        <v>1549.9</v>
      </c>
      <c r="E359" s="8">
        <v>1472.6</v>
      </c>
      <c r="F359" s="8">
        <v>2747.2</v>
      </c>
      <c r="G359" s="8">
        <v>2598.9</v>
      </c>
      <c r="H359" s="8">
        <v>19833</v>
      </c>
      <c r="I359" s="8">
        <v>8291.9</v>
      </c>
      <c r="J359" s="8">
        <v>3616.4</v>
      </c>
      <c r="K359" s="8">
        <v>1640.9</v>
      </c>
      <c r="L359" s="8">
        <v>1570.1</v>
      </c>
      <c r="M359" s="8">
        <v>2964.1</v>
      </c>
      <c r="N359" s="8">
        <v>2649</v>
      </c>
      <c r="O359" s="8">
        <v>20732.400000000001</v>
      </c>
      <c r="P359" s="8">
        <v>8303.9</v>
      </c>
      <c r="Q359" s="8">
        <v>3568.2</v>
      </c>
      <c r="R359" s="8">
        <v>1610.7</v>
      </c>
      <c r="S359" s="8">
        <v>1529.2</v>
      </c>
      <c r="T359" s="8">
        <v>2944.1</v>
      </c>
      <c r="U359" s="8">
        <v>2646.5</v>
      </c>
      <c r="V359" s="8">
        <v>20608.8</v>
      </c>
    </row>
    <row r="360" spans="1:22" x14ac:dyDescent="0.15">
      <c r="A360" s="9">
        <v>40664</v>
      </c>
      <c r="B360" s="8">
        <v>8059</v>
      </c>
      <c r="C360" s="8">
        <v>3391.7</v>
      </c>
      <c r="D360" s="8">
        <v>1626.1</v>
      </c>
      <c r="E360" s="8">
        <v>1408.9</v>
      </c>
      <c r="F360" s="8">
        <v>2798.4</v>
      </c>
      <c r="G360" s="8">
        <v>2604.1</v>
      </c>
      <c r="H360" s="8">
        <v>19888.099999999999</v>
      </c>
      <c r="I360" s="8">
        <v>8311.7000000000007</v>
      </c>
      <c r="J360" s="8">
        <v>3595</v>
      </c>
      <c r="K360" s="8">
        <v>1615</v>
      </c>
      <c r="L360" s="8">
        <v>1528.9</v>
      </c>
      <c r="M360" s="8">
        <v>2953</v>
      </c>
      <c r="N360" s="8">
        <v>2651.2</v>
      </c>
      <c r="O360" s="8">
        <v>20654.8</v>
      </c>
      <c r="P360" s="8">
        <v>8332.1</v>
      </c>
      <c r="Q360" s="8">
        <v>3573.4</v>
      </c>
      <c r="R360" s="8">
        <v>1603.8</v>
      </c>
      <c r="S360" s="8">
        <v>1521.5</v>
      </c>
      <c r="T360" s="8">
        <v>2976.8</v>
      </c>
      <c r="U360" s="8">
        <v>2652.1</v>
      </c>
      <c r="V360" s="8">
        <v>20656.8</v>
      </c>
    </row>
    <row r="361" spans="1:22" x14ac:dyDescent="0.15">
      <c r="A361" s="9">
        <v>40695</v>
      </c>
      <c r="B361" s="8">
        <v>7878.3</v>
      </c>
      <c r="C361" s="8">
        <v>3531.3</v>
      </c>
      <c r="D361" s="8">
        <v>1545.9</v>
      </c>
      <c r="E361" s="8">
        <v>1471.9</v>
      </c>
      <c r="F361" s="8">
        <v>2791.4</v>
      </c>
      <c r="G361" s="8">
        <v>2519.5</v>
      </c>
      <c r="H361" s="8">
        <v>19738.3</v>
      </c>
      <c r="I361" s="8">
        <v>8333.7000000000007</v>
      </c>
      <c r="J361" s="8">
        <v>3567.4</v>
      </c>
      <c r="K361" s="8">
        <v>1589.9</v>
      </c>
      <c r="L361" s="8">
        <v>1468.5</v>
      </c>
      <c r="M361" s="8">
        <v>2982.1</v>
      </c>
      <c r="N361" s="8">
        <v>2649.3</v>
      </c>
      <c r="O361" s="8">
        <v>20590.900000000001</v>
      </c>
      <c r="P361" s="8">
        <v>8363.9</v>
      </c>
      <c r="Q361" s="8">
        <v>3583.9</v>
      </c>
      <c r="R361" s="8">
        <v>1586.3</v>
      </c>
      <c r="S361" s="8">
        <v>1512.1</v>
      </c>
      <c r="T361" s="8">
        <v>3001.4</v>
      </c>
      <c r="U361" s="8">
        <v>2665.2</v>
      </c>
      <c r="V361" s="8">
        <v>20711.7</v>
      </c>
    </row>
    <row r="362" spans="1:22" x14ac:dyDescent="0.15">
      <c r="A362" s="9">
        <v>40725</v>
      </c>
      <c r="B362" s="8">
        <v>8315.2000000000007</v>
      </c>
      <c r="C362" s="8">
        <v>3463.3</v>
      </c>
      <c r="D362" s="8">
        <v>1456.2</v>
      </c>
      <c r="E362" s="8">
        <v>1532.5</v>
      </c>
      <c r="F362" s="8">
        <v>2950.6</v>
      </c>
      <c r="G362" s="8">
        <v>2701.9</v>
      </c>
      <c r="H362" s="8">
        <v>20419.599999999999</v>
      </c>
      <c r="I362" s="8">
        <v>8429.4</v>
      </c>
      <c r="J362" s="8">
        <v>3536.9</v>
      </c>
      <c r="K362" s="8">
        <v>1553.1</v>
      </c>
      <c r="L362" s="8">
        <v>1521.9</v>
      </c>
      <c r="M362" s="8">
        <v>3058.2</v>
      </c>
      <c r="N362" s="8">
        <v>2678</v>
      </c>
      <c r="O362" s="8">
        <v>20777.599999999999</v>
      </c>
      <c r="P362" s="8">
        <v>8396.2000000000007</v>
      </c>
      <c r="Q362" s="8">
        <v>3598.7</v>
      </c>
      <c r="R362" s="8">
        <v>1571.7</v>
      </c>
      <c r="S362" s="8">
        <v>1502.4</v>
      </c>
      <c r="T362" s="8">
        <v>3019.1</v>
      </c>
      <c r="U362" s="8">
        <v>2682.5</v>
      </c>
      <c r="V362" s="8">
        <v>20773.8</v>
      </c>
    </row>
    <row r="363" spans="1:22" x14ac:dyDescent="0.15">
      <c r="A363" s="9">
        <v>40756</v>
      </c>
      <c r="B363" s="8">
        <v>8360.2999999999993</v>
      </c>
      <c r="C363" s="8">
        <v>3578.6</v>
      </c>
      <c r="D363" s="8">
        <v>1420.7</v>
      </c>
      <c r="E363" s="8">
        <v>1293.5</v>
      </c>
      <c r="F363" s="8">
        <v>2995.6</v>
      </c>
      <c r="G363" s="8">
        <v>2739.6</v>
      </c>
      <c r="H363" s="8">
        <v>20388.3</v>
      </c>
      <c r="I363" s="8">
        <v>8463.7999999999993</v>
      </c>
      <c r="J363" s="8">
        <v>3628.2</v>
      </c>
      <c r="K363" s="8">
        <v>1548.4</v>
      </c>
      <c r="L363" s="8">
        <v>1501.2</v>
      </c>
      <c r="M363" s="8">
        <v>3047.9</v>
      </c>
      <c r="N363" s="8">
        <v>2707.3</v>
      </c>
      <c r="O363" s="8">
        <v>20896.900000000001</v>
      </c>
      <c r="P363" s="8">
        <v>8429.1</v>
      </c>
      <c r="Q363" s="8">
        <v>3619.6</v>
      </c>
      <c r="R363" s="8">
        <v>1561.1</v>
      </c>
      <c r="S363" s="8">
        <v>1494.6</v>
      </c>
      <c r="T363" s="8">
        <v>3037.4</v>
      </c>
      <c r="U363" s="8">
        <v>2699.4</v>
      </c>
      <c r="V363" s="8">
        <v>20839.3</v>
      </c>
    </row>
    <row r="364" spans="1:22" x14ac:dyDescent="0.15">
      <c r="A364" s="9">
        <v>40787</v>
      </c>
      <c r="B364" s="8">
        <v>8274.2000000000007</v>
      </c>
      <c r="C364" s="8">
        <v>3613.9</v>
      </c>
      <c r="D364" s="8">
        <v>1500</v>
      </c>
      <c r="E364" s="8">
        <v>1345.7</v>
      </c>
      <c r="F364" s="8">
        <v>2997.8</v>
      </c>
      <c r="G364" s="8">
        <v>2744.3</v>
      </c>
      <c r="H364" s="8">
        <v>20475.900000000001</v>
      </c>
      <c r="I364" s="8">
        <v>8437.5</v>
      </c>
      <c r="J364" s="8">
        <v>3649.6</v>
      </c>
      <c r="K364" s="8">
        <v>1550</v>
      </c>
      <c r="L364" s="8">
        <v>1487.6</v>
      </c>
      <c r="M364" s="8">
        <v>3037.1</v>
      </c>
      <c r="N364" s="8">
        <v>2724.8</v>
      </c>
      <c r="O364" s="8">
        <v>20886.599999999999</v>
      </c>
      <c r="P364" s="8">
        <v>8454.2000000000007</v>
      </c>
      <c r="Q364" s="8">
        <v>3640.5</v>
      </c>
      <c r="R364" s="8">
        <v>1559.6</v>
      </c>
      <c r="S364" s="8">
        <v>1489.7</v>
      </c>
      <c r="T364" s="8">
        <v>3042</v>
      </c>
      <c r="U364" s="8">
        <v>2713.2</v>
      </c>
      <c r="V364" s="8">
        <v>20898.8</v>
      </c>
    </row>
    <row r="365" spans="1:22" x14ac:dyDescent="0.15">
      <c r="A365" s="9">
        <v>40817</v>
      </c>
      <c r="B365" s="8">
        <v>8606.2999999999993</v>
      </c>
      <c r="C365" s="8">
        <v>3769</v>
      </c>
      <c r="D365" s="8">
        <v>1566.6</v>
      </c>
      <c r="E365" s="8">
        <v>1404.7</v>
      </c>
      <c r="F365" s="8">
        <v>3022.4</v>
      </c>
      <c r="G365" s="8">
        <v>2814.4</v>
      </c>
      <c r="H365" s="8">
        <v>21183.4</v>
      </c>
      <c r="I365" s="8">
        <v>8451.5</v>
      </c>
      <c r="J365" s="8">
        <v>3675.3</v>
      </c>
      <c r="K365" s="8">
        <v>1575.8</v>
      </c>
      <c r="L365" s="8">
        <v>1478.3</v>
      </c>
      <c r="M365" s="8">
        <v>3042.6</v>
      </c>
      <c r="N365" s="8">
        <v>2741.4</v>
      </c>
      <c r="O365" s="8">
        <v>20965.099999999999</v>
      </c>
      <c r="P365" s="8">
        <v>8468.5</v>
      </c>
      <c r="Q365" s="8">
        <v>3651.6</v>
      </c>
      <c r="R365" s="8">
        <v>1568.6</v>
      </c>
      <c r="S365" s="8">
        <v>1488.8</v>
      </c>
      <c r="T365" s="8">
        <v>3044.4</v>
      </c>
      <c r="U365" s="8">
        <v>2723.3</v>
      </c>
      <c r="V365" s="8">
        <v>20945.599999999999</v>
      </c>
    </row>
    <row r="366" spans="1:22" x14ac:dyDescent="0.15">
      <c r="A366" s="9">
        <v>40848</v>
      </c>
      <c r="B366" s="8">
        <v>8569.9</v>
      </c>
      <c r="C366" s="8">
        <v>3920.7</v>
      </c>
      <c r="D366" s="8">
        <v>1612</v>
      </c>
      <c r="E366" s="8">
        <v>1660</v>
      </c>
      <c r="F366" s="8">
        <v>3317.5</v>
      </c>
      <c r="G366" s="8">
        <v>2784.2</v>
      </c>
      <c r="H366" s="8">
        <v>21864.2</v>
      </c>
      <c r="I366" s="8">
        <v>8511</v>
      </c>
      <c r="J366" s="8">
        <v>3675.3</v>
      </c>
      <c r="K366" s="8">
        <v>1577.8</v>
      </c>
      <c r="L366" s="8">
        <v>1493.4</v>
      </c>
      <c r="M366" s="8">
        <v>3019.4</v>
      </c>
      <c r="N366" s="8">
        <v>2732.8</v>
      </c>
      <c r="O366" s="8">
        <v>21009.599999999999</v>
      </c>
      <c r="P366" s="8">
        <v>8476.4</v>
      </c>
      <c r="Q366" s="8">
        <v>3649.9</v>
      </c>
      <c r="R366" s="8">
        <v>1582.2</v>
      </c>
      <c r="S366" s="8">
        <v>1491.6</v>
      </c>
      <c r="T366" s="8">
        <v>3045.5</v>
      </c>
      <c r="U366" s="8">
        <v>2730.6</v>
      </c>
      <c r="V366" s="8">
        <v>20978</v>
      </c>
    </row>
    <row r="367" spans="1:22" x14ac:dyDescent="0.15">
      <c r="A367" s="9">
        <v>40878</v>
      </c>
      <c r="B367" s="8">
        <v>9936</v>
      </c>
      <c r="C367" s="8">
        <v>4867.7</v>
      </c>
      <c r="D367" s="8">
        <v>2577.1</v>
      </c>
      <c r="E367" s="8">
        <v>2730.5</v>
      </c>
      <c r="F367" s="8">
        <v>4267.6000000000004</v>
      </c>
      <c r="G367" s="8">
        <v>3046.6</v>
      </c>
      <c r="H367" s="8">
        <v>27425.4</v>
      </c>
      <c r="I367" s="8">
        <v>8477.2000000000007</v>
      </c>
      <c r="J367" s="8">
        <v>3668.5</v>
      </c>
      <c r="K367" s="8">
        <v>1614.1</v>
      </c>
      <c r="L367" s="8">
        <v>1497.8</v>
      </c>
      <c r="M367" s="8">
        <v>3075.1</v>
      </c>
      <c r="N367" s="8">
        <v>2704.5</v>
      </c>
      <c r="O367" s="8">
        <v>21037.1</v>
      </c>
      <c r="P367" s="8">
        <v>8484.7000000000007</v>
      </c>
      <c r="Q367" s="8">
        <v>3631.6</v>
      </c>
      <c r="R367" s="8">
        <v>1595.9</v>
      </c>
      <c r="S367" s="8">
        <v>1494.6</v>
      </c>
      <c r="T367" s="8">
        <v>3050.6</v>
      </c>
      <c r="U367" s="8">
        <v>2740.3</v>
      </c>
      <c r="V367" s="8">
        <v>20999.3</v>
      </c>
    </row>
    <row r="368" spans="1:22" x14ac:dyDescent="0.15">
      <c r="A368" s="9">
        <v>40909</v>
      </c>
      <c r="B368" s="8">
        <v>8534.7999999999993</v>
      </c>
      <c r="C368" s="8">
        <v>3540.6</v>
      </c>
      <c r="D368" s="8">
        <v>1536.3</v>
      </c>
      <c r="E368" s="8">
        <v>1362.4</v>
      </c>
      <c r="F368" s="8">
        <v>2826</v>
      </c>
      <c r="G368" s="8">
        <v>2729.5</v>
      </c>
      <c r="H368" s="8">
        <v>20529.599999999999</v>
      </c>
      <c r="I368" s="8">
        <v>8479.6</v>
      </c>
      <c r="J368" s="8">
        <v>3557.7</v>
      </c>
      <c r="K368" s="8">
        <v>1622.2</v>
      </c>
      <c r="L368" s="8">
        <v>1498.9</v>
      </c>
      <c r="M368" s="8">
        <v>3044.5</v>
      </c>
      <c r="N368" s="8">
        <v>2763.7</v>
      </c>
      <c r="O368" s="8">
        <v>20966.7</v>
      </c>
      <c r="P368" s="8">
        <v>8503.5</v>
      </c>
      <c r="Q368" s="8">
        <v>3606.2</v>
      </c>
      <c r="R368" s="8">
        <v>1607.3</v>
      </c>
      <c r="S368" s="8">
        <v>1502.5</v>
      </c>
      <c r="T368" s="8">
        <v>3063.2</v>
      </c>
      <c r="U368" s="8">
        <v>2754.7</v>
      </c>
      <c r="V368" s="8">
        <v>21035.599999999999</v>
      </c>
    </row>
    <row r="369" spans="1:22" x14ac:dyDescent="0.15">
      <c r="A369" s="9">
        <v>40940</v>
      </c>
      <c r="B369" s="8">
        <v>8119.1</v>
      </c>
      <c r="C369" s="8">
        <v>3144.9</v>
      </c>
      <c r="D369" s="8">
        <v>1308.8</v>
      </c>
      <c r="E369" s="8">
        <v>1131.7</v>
      </c>
      <c r="F369" s="8">
        <v>2810.8</v>
      </c>
      <c r="G369" s="8">
        <v>2556</v>
      </c>
      <c r="H369" s="8">
        <v>19071.2</v>
      </c>
      <c r="I369" s="8">
        <v>8516.2999999999993</v>
      </c>
      <c r="J369" s="8">
        <v>3549.6</v>
      </c>
      <c r="K369" s="8">
        <v>1595.9</v>
      </c>
      <c r="L369" s="8">
        <v>1517.9</v>
      </c>
      <c r="M369" s="8">
        <v>3080.1</v>
      </c>
      <c r="N369" s="8">
        <v>2770.8</v>
      </c>
      <c r="O369" s="8">
        <v>21030.6</v>
      </c>
      <c r="P369" s="8">
        <v>8529.5</v>
      </c>
      <c r="Q369" s="8">
        <v>3585.2</v>
      </c>
      <c r="R369" s="8">
        <v>1620.7</v>
      </c>
      <c r="S369" s="8">
        <v>1514.5</v>
      </c>
      <c r="T369" s="8">
        <v>3079.1</v>
      </c>
      <c r="U369" s="8">
        <v>2778</v>
      </c>
      <c r="V369" s="8">
        <v>21106</v>
      </c>
    </row>
    <row r="370" spans="1:22" x14ac:dyDescent="0.15">
      <c r="A370" s="9">
        <v>40969</v>
      </c>
      <c r="B370" s="8">
        <v>8736.6</v>
      </c>
      <c r="C370" s="8">
        <v>3396.4</v>
      </c>
      <c r="D370" s="8">
        <v>1511.5</v>
      </c>
      <c r="E370" s="8">
        <v>1349.2</v>
      </c>
      <c r="F370" s="8">
        <v>3035.1</v>
      </c>
      <c r="G370" s="8">
        <v>2839.3</v>
      </c>
      <c r="H370" s="8">
        <v>20868.099999999999</v>
      </c>
      <c r="I370" s="8">
        <v>8581.1</v>
      </c>
      <c r="J370" s="8">
        <v>3590.6</v>
      </c>
      <c r="K370" s="8">
        <v>1629.2</v>
      </c>
      <c r="L370" s="8">
        <v>1524.2</v>
      </c>
      <c r="M370" s="8">
        <v>3101.3</v>
      </c>
      <c r="N370" s="8">
        <v>2813.4</v>
      </c>
      <c r="O370" s="8">
        <v>21239.9</v>
      </c>
      <c r="P370" s="8">
        <v>8567.4</v>
      </c>
      <c r="Q370" s="8">
        <v>3578.2</v>
      </c>
      <c r="R370" s="8">
        <v>1634.3</v>
      </c>
      <c r="S370" s="8">
        <v>1526</v>
      </c>
      <c r="T370" s="8">
        <v>3093.5</v>
      </c>
      <c r="U370" s="8">
        <v>2809</v>
      </c>
      <c r="V370" s="8">
        <v>21207.8</v>
      </c>
    </row>
    <row r="371" spans="1:22" x14ac:dyDescent="0.15">
      <c r="A371" s="9">
        <v>41000</v>
      </c>
      <c r="B371" s="8">
        <v>8399.2000000000007</v>
      </c>
      <c r="C371" s="8">
        <v>3180.4</v>
      </c>
      <c r="D371" s="8">
        <v>1517.7</v>
      </c>
      <c r="E371" s="8">
        <v>1391.2</v>
      </c>
      <c r="F371" s="8">
        <v>2803</v>
      </c>
      <c r="G371" s="8">
        <v>2737.4</v>
      </c>
      <c r="H371" s="8">
        <v>20028.900000000001</v>
      </c>
      <c r="I371" s="8">
        <v>8610.7999999999993</v>
      </c>
      <c r="J371" s="8">
        <v>3581.5</v>
      </c>
      <c r="K371" s="8">
        <v>1640</v>
      </c>
      <c r="L371" s="8">
        <v>1515.6</v>
      </c>
      <c r="M371" s="8">
        <v>3099.5</v>
      </c>
      <c r="N371" s="8">
        <v>2831.9</v>
      </c>
      <c r="O371" s="8">
        <v>21279.200000000001</v>
      </c>
      <c r="P371" s="8">
        <v>8609</v>
      </c>
      <c r="Q371" s="8">
        <v>3589.8</v>
      </c>
      <c r="R371" s="8">
        <v>1644.8</v>
      </c>
      <c r="S371" s="8">
        <v>1534.6</v>
      </c>
      <c r="T371" s="8">
        <v>3109.1</v>
      </c>
      <c r="U371" s="8">
        <v>2843.2</v>
      </c>
      <c r="V371" s="8">
        <v>21329.1</v>
      </c>
    </row>
    <row r="372" spans="1:22" x14ac:dyDescent="0.15">
      <c r="A372" s="9">
        <v>41030</v>
      </c>
      <c r="B372" s="8">
        <v>8450.7000000000007</v>
      </c>
      <c r="C372" s="8">
        <v>3435.8</v>
      </c>
      <c r="D372" s="8">
        <v>1695.7</v>
      </c>
      <c r="E372" s="8">
        <v>1456.9</v>
      </c>
      <c r="F372" s="8">
        <v>2997.2</v>
      </c>
      <c r="G372" s="8">
        <v>2836.7</v>
      </c>
      <c r="H372" s="8">
        <v>20873.099999999999</v>
      </c>
      <c r="I372" s="8">
        <v>8637</v>
      </c>
      <c r="J372" s="8">
        <v>3622.8</v>
      </c>
      <c r="K372" s="8">
        <v>1658.1</v>
      </c>
      <c r="L372" s="8">
        <v>1546.1</v>
      </c>
      <c r="M372" s="8">
        <v>3111.9</v>
      </c>
      <c r="N372" s="8">
        <v>2876.2</v>
      </c>
      <c r="O372" s="8">
        <v>21452.1</v>
      </c>
      <c r="P372" s="8">
        <v>8654.6</v>
      </c>
      <c r="Q372" s="8">
        <v>3611.5</v>
      </c>
      <c r="R372" s="8">
        <v>1657</v>
      </c>
      <c r="S372" s="8">
        <v>1539</v>
      </c>
      <c r="T372" s="8">
        <v>3114.2</v>
      </c>
      <c r="U372" s="8">
        <v>2873</v>
      </c>
      <c r="V372" s="8">
        <v>21452.2</v>
      </c>
    </row>
    <row r="373" spans="1:22" x14ac:dyDescent="0.15">
      <c r="A373" s="9">
        <v>41061</v>
      </c>
      <c r="B373" s="8">
        <v>8269.7000000000007</v>
      </c>
      <c r="C373" s="8">
        <v>3579.5</v>
      </c>
      <c r="D373" s="8">
        <v>1647.6</v>
      </c>
      <c r="E373" s="8">
        <v>1616.4</v>
      </c>
      <c r="F373" s="8">
        <v>2980.1</v>
      </c>
      <c r="G373" s="8">
        <v>2784.8</v>
      </c>
      <c r="H373" s="8">
        <v>20878.099999999999</v>
      </c>
      <c r="I373" s="8">
        <v>8730.2999999999993</v>
      </c>
      <c r="J373" s="8">
        <v>3616.9</v>
      </c>
      <c r="K373" s="8">
        <v>1685.2</v>
      </c>
      <c r="L373" s="8">
        <v>1611.1</v>
      </c>
      <c r="M373" s="8">
        <v>3154.7</v>
      </c>
      <c r="N373" s="8">
        <v>2911.2</v>
      </c>
      <c r="O373" s="8">
        <v>21709.4</v>
      </c>
      <c r="P373" s="8">
        <v>8703</v>
      </c>
      <c r="Q373" s="8">
        <v>3637.1</v>
      </c>
      <c r="R373" s="8">
        <v>1664.6</v>
      </c>
      <c r="S373" s="8">
        <v>1538.4</v>
      </c>
      <c r="T373" s="8">
        <v>3115.1</v>
      </c>
      <c r="U373" s="8">
        <v>2895</v>
      </c>
      <c r="V373" s="8">
        <v>21553</v>
      </c>
    </row>
    <row r="374" spans="1:22" x14ac:dyDescent="0.15">
      <c r="A374" s="9">
        <v>41091</v>
      </c>
      <c r="B374" s="8">
        <v>8500.4</v>
      </c>
      <c r="C374" s="8">
        <v>3601.1</v>
      </c>
      <c r="D374" s="8">
        <v>1546.9</v>
      </c>
      <c r="E374" s="8">
        <v>1423.4</v>
      </c>
      <c r="F374" s="8">
        <v>2960.6</v>
      </c>
      <c r="G374" s="8">
        <v>2932.2</v>
      </c>
      <c r="H374" s="8">
        <v>20964.599999999999</v>
      </c>
      <c r="I374" s="8">
        <v>8745.5</v>
      </c>
      <c r="J374" s="8">
        <v>3679.3</v>
      </c>
      <c r="K374" s="8">
        <v>1675.3</v>
      </c>
      <c r="L374" s="8">
        <v>1459.2</v>
      </c>
      <c r="M374" s="8">
        <v>3093.4</v>
      </c>
      <c r="N374" s="8">
        <v>2921.7</v>
      </c>
      <c r="O374" s="8">
        <v>21574.3</v>
      </c>
      <c r="P374" s="8">
        <v>8745.5</v>
      </c>
      <c r="Q374" s="8">
        <v>3652.7</v>
      </c>
      <c r="R374" s="8">
        <v>1666.2</v>
      </c>
      <c r="S374" s="8">
        <v>1534.3</v>
      </c>
      <c r="T374" s="8">
        <v>3110.9</v>
      </c>
      <c r="U374" s="8">
        <v>2904.5</v>
      </c>
      <c r="V374" s="8">
        <v>21613.4</v>
      </c>
    </row>
    <row r="375" spans="1:22" x14ac:dyDescent="0.15">
      <c r="A375" s="9">
        <v>41122</v>
      </c>
      <c r="B375" s="8">
        <v>8787.9</v>
      </c>
      <c r="C375" s="8">
        <v>3627.1</v>
      </c>
      <c r="D375" s="8">
        <v>1531.4</v>
      </c>
      <c r="E375" s="8">
        <v>1359</v>
      </c>
      <c r="F375" s="8">
        <v>3083.9</v>
      </c>
      <c r="G375" s="8">
        <v>2962.7</v>
      </c>
      <c r="H375" s="8">
        <v>21352</v>
      </c>
      <c r="I375" s="8">
        <v>8765.5</v>
      </c>
      <c r="J375" s="8">
        <v>3656.7</v>
      </c>
      <c r="K375" s="8">
        <v>1659.5</v>
      </c>
      <c r="L375" s="8">
        <v>1540.5</v>
      </c>
      <c r="M375" s="8">
        <v>3082.4</v>
      </c>
      <c r="N375" s="8">
        <v>2895.2</v>
      </c>
      <c r="O375" s="8">
        <v>21599.8</v>
      </c>
      <c r="P375" s="8">
        <v>8781.2999999999993</v>
      </c>
      <c r="Q375" s="8">
        <v>3655.6</v>
      </c>
      <c r="R375" s="8">
        <v>1657.8</v>
      </c>
      <c r="S375" s="8">
        <v>1527.3</v>
      </c>
      <c r="T375" s="8">
        <v>3102.3</v>
      </c>
      <c r="U375" s="8">
        <v>2904.9</v>
      </c>
      <c r="V375" s="8">
        <v>21629.599999999999</v>
      </c>
    </row>
    <row r="376" spans="1:22" x14ac:dyDescent="0.15">
      <c r="A376" s="9">
        <v>41153</v>
      </c>
      <c r="B376" s="8">
        <v>8582.7999999999993</v>
      </c>
      <c r="C376" s="8">
        <v>3639</v>
      </c>
      <c r="D376" s="8">
        <v>1565.6</v>
      </c>
      <c r="E376" s="8">
        <v>1367.8</v>
      </c>
      <c r="F376" s="8">
        <v>2999.1</v>
      </c>
      <c r="G376" s="8">
        <v>2885.9</v>
      </c>
      <c r="H376" s="8">
        <v>21040.2</v>
      </c>
      <c r="I376" s="8">
        <v>8812.2000000000007</v>
      </c>
      <c r="J376" s="8">
        <v>3700</v>
      </c>
      <c r="K376" s="8">
        <v>1639.6</v>
      </c>
      <c r="L376" s="8">
        <v>1524.1</v>
      </c>
      <c r="M376" s="8">
        <v>3112.6</v>
      </c>
      <c r="N376" s="8">
        <v>2896</v>
      </c>
      <c r="O376" s="8">
        <v>21684.6</v>
      </c>
      <c r="P376" s="8">
        <v>8810.9</v>
      </c>
      <c r="Q376" s="8">
        <v>3649.8</v>
      </c>
      <c r="R376" s="8">
        <v>1650.3</v>
      </c>
      <c r="S376" s="8">
        <v>1520.5</v>
      </c>
      <c r="T376" s="8">
        <v>3094.7</v>
      </c>
      <c r="U376" s="8">
        <v>2897</v>
      </c>
      <c r="V376" s="8">
        <v>21623.9</v>
      </c>
    </row>
    <row r="377" spans="1:22" x14ac:dyDescent="0.15">
      <c r="A377" s="9">
        <v>41183</v>
      </c>
      <c r="B377" s="8">
        <v>8982</v>
      </c>
      <c r="C377" s="8">
        <v>3725.3</v>
      </c>
      <c r="D377" s="8">
        <v>1619.9</v>
      </c>
      <c r="E377" s="8">
        <v>1442.6</v>
      </c>
      <c r="F377" s="8">
        <v>3113.9</v>
      </c>
      <c r="G377" s="8">
        <v>2966.7</v>
      </c>
      <c r="H377" s="8">
        <v>21850.400000000001</v>
      </c>
      <c r="I377" s="8">
        <v>8874.6</v>
      </c>
      <c r="J377" s="8">
        <v>3618.5</v>
      </c>
      <c r="K377" s="8">
        <v>1636.7</v>
      </c>
      <c r="L377" s="8">
        <v>1519.3</v>
      </c>
      <c r="M377" s="8">
        <v>3085.4</v>
      </c>
      <c r="N377" s="8">
        <v>2886.4</v>
      </c>
      <c r="O377" s="8">
        <v>21621</v>
      </c>
      <c r="P377" s="8">
        <v>8837.2999999999993</v>
      </c>
      <c r="Q377" s="8">
        <v>3642.1</v>
      </c>
      <c r="R377" s="8">
        <v>1647.4</v>
      </c>
      <c r="S377" s="8">
        <v>1517.2</v>
      </c>
      <c r="T377" s="8">
        <v>3090.9</v>
      </c>
      <c r="U377" s="8">
        <v>2888</v>
      </c>
      <c r="V377" s="8">
        <v>21622.6</v>
      </c>
    </row>
    <row r="378" spans="1:22" x14ac:dyDescent="0.15">
      <c r="A378" s="9">
        <v>41214</v>
      </c>
      <c r="B378" s="8">
        <v>9048.5</v>
      </c>
      <c r="C378" s="8">
        <v>3851.4</v>
      </c>
      <c r="D378" s="8">
        <v>1682.8</v>
      </c>
      <c r="E378" s="8">
        <v>1672.9</v>
      </c>
      <c r="F378" s="8">
        <v>3451.5</v>
      </c>
      <c r="G378" s="8">
        <v>2973.1</v>
      </c>
      <c r="H378" s="8">
        <v>22680.2</v>
      </c>
      <c r="I378" s="8">
        <v>8858.6</v>
      </c>
      <c r="J378" s="8">
        <v>3583.5</v>
      </c>
      <c r="K378" s="8">
        <v>1631.8</v>
      </c>
      <c r="L378" s="8">
        <v>1515.2</v>
      </c>
      <c r="M378" s="8">
        <v>3093</v>
      </c>
      <c r="N378" s="8">
        <v>2884.4</v>
      </c>
      <c r="O378" s="8">
        <v>21566.400000000001</v>
      </c>
      <c r="P378" s="8">
        <v>8865.5</v>
      </c>
      <c r="Q378" s="8">
        <v>3638.4</v>
      </c>
      <c r="R378" s="8">
        <v>1649.4</v>
      </c>
      <c r="S378" s="8">
        <v>1518.3</v>
      </c>
      <c r="T378" s="8">
        <v>3090</v>
      </c>
      <c r="U378" s="8">
        <v>2881.6</v>
      </c>
      <c r="V378" s="8">
        <v>21641.5</v>
      </c>
    </row>
    <row r="379" spans="1:22" x14ac:dyDescent="0.15">
      <c r="A379" s="9">
        <v>41244</v>
      </c>
      <c r="B379" s="8">
        <v>10262.1</v>
      </c>
      <c r="C379" s="8">
        <v>4760.2</v>
      </c>
      <c r="D379" s="8">
        <v>2615.6999999999998</v>
      </c>
      <c r="E379" s="8">
        <v>2753.3</v>
      </c>
      <c r="F379" s="8">
        <v>4107.5</v>
      </c>
      <c r="G379" s="8">
        <v>3177.5</v>
      </c>
      <c r="H379" s="8">
        <v>27676.400000000001</v>
      </c>
      <c r="I379" s="8">
        <v>8843.7000000000007</v>
      </c>
      <c r="J379" s="8">
        <v>3634.4</v>
      </c>
      <c r="K379" s="8">
        <v>1660.4</v>
      </c>
      <c r="L379" s="8">
        <v>1525.8</v>
      </c>
      <c r="M379" s="8">
        <v>3077.4</v>
      </c>
      <c r="N379" s="8">
        <v>2869</v>
      </c>
      <c r="O379" s="8">
        <v>21610.7</v>
      </c>
      <c r="P379" s="8">
        <v>8896.2999999999993</v>
      </c>
      <c r="Q379" s="8">
        <v>3643.4</v>
      </c>
      <c r="R379" s="8">
        <v>1651.1</v>
      </c>
      <c r="S379" s="8">
        <v>1521.9</v>
      </c>
      <c r="T379" s="8">
        <v>3093.7</v>
      </c>
      <c r="U379" s="8">
        <v>2881.7</v>
      </c>
      <c r="V379" s="8">
        <v>21688.3</v>
      </c>
    </row>
    <row r="380" spans="1:22" x14ac:dyDescent="0.15">
      <c r="A380" s="9">
        <v>41275</v>
      </c>
      <c r="B380" s="8">
        <v>9067.6</v>
      </c>
      <c r="C380" s="8">
        <v>3669.1</v>
      </c>
      <c r="D380" s="8">
        <v>1613.2</v>
      </c>
      <c r="E380" s="8">
        <v>1397.4</v>
      </c>
      <c r="F380" s="8">
        <v>2913.7</v>
      </c>
      <c r="G380" s="8">
        <v>2849.6</v>
      </c>
      <c r="H380" s="8">
        <v>21510.6</v>
      </c>
      <c r="I380" s="8">
        <v>8934.4</v>
      </c>
      <c r="J380" s="8">
        <v>3668</v>
      </c>
      <c r="K380" s="8">
        <v>1668.3</v>
      </c>
      <c r="L380" s="8">
        <v>1493.5</v>
      </c>
      <c r="M380" s="8">
        <v>3105.2</v>
      </c>
      <c r="N380" s="8">
        <v>2870.7</v>
      </c>
      <c r="O380" s="8">
        <v>21740.1</v>
      </c>
      <c r="P380" s="8">
        <v>8928.4</v>
      </c>
      <c r="Q380" s="8">
        <v>3652</v>
      </c>
      <c r="R380" s="8">
        <v>1654.4</v>
      </c>
      <c r="S380" s="8">
        <v>1526.5</v>
      </c>
      <c r="T380" s="8">
        <v>3105</v>
      </c>
      <c r="U380" s="8">
        <v>2886.8</v>
      </c>
      <c r="V380" s="8">
        <v>21753.5</v>
      </c>
    </row>
    <row r="381" spans="1:22" x14ac:dyDescent="0.15">
      <c r="A381" s="9">
        <v>41306</v>
      </c>
      <c r="B381" s="8">
        <v>8264.7999999999993</v>
      </c>
      <c r="C381" s="8">
        <v>3201.1</v>
      </c>
      <c r="D381" s="8">
        <v>1348.1</v>
      </c>
      <c r="E381" s="8">
        <v>1113.5999999999999</v>
      </c>
      <c r="F381" s="8">
        <v>2764.4</v>
      </c>
      <c r="G381" s="8">
        <v>2607.6999999999998</v>
      </c>
      <c r="H381" s="8">
        <v>19299.8</v>
      </c>
      <c r="I381" s="8">
        <v>8974.2000000000007</v>
      </c>
      <c r="J381" s="8">
        <v>3706.2</v>
      </c>
      <c r="K381" s="8">
        <v>1697.9</v>
      </c>
      <c r="L381" s="8">
        <v>1564.4</v>
      </c>
      <c r="M381" s="8">
        <v>3128.8</v>
      </c>
      <c r="N381" s="8">
        <v>2916</v>
      </c>
      <c r="O381" s="8">
        <v>21987.5</v>
      </c>
      <c r="P381" s="8">
        <v>8959.6</v>
      </c>
      <c r="Q381" s="8">
        <v>3659</v>
      </c>
      <c r="R381" s="8">
        <v>1657.6</v>
      </c>
      <c r="S381" s="8">
        <v>1528.3</v>
      </c>
      <c r="T381" s="8">
        <v>3117.9</v>
      </c>
      <c r="U381" s="8">
        <v>2898.1</v>
      </c>
      <c r="V381" s="8">
        <v>21819.9</v>
      </c>
    </row>
    <row r="382" spans="1:22" x14ac:dyDescent="0.15">
      <c r="A382" s="9">
        <v>41334</v>
      </c>
      <c r="B382" s="8">
        <v>9272</v>
      </c>
      <c r="C382" s="8">
        <v>3393.1</v>
      </c>
      <c r="D382" s="8">
        <v>1448.8</v>
      </c>
      <c r="E382" s="8">
        <v>1397.3</v>
      </c>
      <c r="F382" s="8">
        <v>2975.3</v>
      </c>
      <c r="G382" s="8">
        <v>2924</v>
      </c>
      <c r="H382" s="8">
        <v>21410.5</v>
      </c>
      <c r="I382" s="8">
        <v>9024</v>
      </c>
      <c r="J382" s="8">
        <v>3667.5</v>
      </c>
      <c r="K382" s="8">
        <v>1608.2</v>
      </c>
      <c r="L382" s="8">
        <v>1534.4</v>
      </c>
      <c r="M382" s="8">
        <v>3111.6</v>
      </c>
      <c r="N382" s="8">
        <v>2919.8</v>
      </c>
      <c r="O382" s="8">
        <v>21865.5</v>
      </c>
      <c r="P382" s="8">
        <v>8984.7000000000007</v>
      </c>
      <c r="Q382" s="8">
        <v>3668.3</v>
      </c>
      <c r="R382" s="8">
        <v>1656.9</v>
      </c>
      <c r="S382" s="8">
        <v>1526.2</v>
      </c>
      <c r="T382" s="8">
        <v>3127</v>
      </c>
      <c r="U382" s="8">
        <v>2913.3</v>
      </c>
      <c r="V382" s="8">
        <v>21878.7</v>
      </c>
    </row>
    <row r="383" spans="1:22" x14ac:dyDescent="0.15">
      <c r="A383" s="9">
        <v>41365</v>
      </c>
      <c r="B383" s="8">
        <v>8614.9</v>
      </c>
      <c r="C383" s="8">
        <v>3320.2</v>
      </c>
      <c r="D383" s="8">
        <v>1578</v>
      </c>
      <c r="E383" s="8">
        <v>1339.1</v>
      </c>
      <c r="F383" s="8">
        <v>2895.3</v>
      </c>
      <c r="G383" s="8">
        <v>2853.5</v>
      </c>
      <c r="H383" s="8">
        <v>20601.099999999999</v>
      </c>
      <c r="I383" s="8">
        <v>9006.6</v>
      </c>
      <c r="J383" s="8">
        <v>3653.1</v>
      </c>
      <c r="K383" s="8">
        <v>1661.2</v>
      </c>
      <c r="L383" s="8">
        <v>1501.4</v>
      </c>
      <c r="M383" s="8">
        <v>3133.5</v>
      </c>
      <c r="N383" s="8">
        <v>2919.4</v>
      </c>
      <c r="O383" s="8">
        <v>21875.200000000001</v>
      </c>
      <c r="P383" s="8">
        <v>9011.2000000000007</v>
      </c>
      <c r="Q383" s="8">
        <v>3675.5</v>
      </c>
      <c r="R383" s="8">
        <v>1664.1</v>
      </c>
      <c r="S383" s="8">
        <v>1519</v>
      </c>
      <c r="T383" s="8">
        <v>3129</v>
      </c>
      <c r="U383" s="8">
        <v>2927.1</v>
      </c>
      <c r="V383" s="8">
        <v>21926.2</v>
      </c>
    </row>
    <row r="384" spans="1:22" x14ac:dyDescent="0.15">
      <c r="A384" s="9">
        <v>41395</v>
      </c>
      <c r="B384" s="8">
        <v>8876.5</v>
      </c>
      <c r="C384" s="8">
        <v>3456.3</v>
      </c>
      <c r="D384" s="8">
        <v>1718</v>
      </c>
      <c r="E384" s="8">
        <v>1441.9</v>
      </c>
      <c r="F384" s="8">
        <v>3086.8</v>
      </c>
      <c r="G384" s="8">
        <v>2901.5</v>
      </c>
      <c r="H384" s="8">
        <v>21481</v>
      </c>
      <c r="I384" s="8">
        <v>9009.1</v>
      </c>
      <c r="J384" s="8">
        <v>3668.5</v>
      </c>
      <c r="K384" s="8">
        <v>1682.9</v>
      </c>
      <c r="L384" s="8">
        <v>1521.8</v>
      </c>
      <c r="M384" s="8">
        <v>3179.8</v>
      </c>
      <c r="N384" s="8">
        <v>2940.8</v>
      </c>
      <c r="O384" s="8">
        <v>22002.9</v>
      </c>
      <c r="P384" s="8">
        <v>9034.2999999999993</v>
      </c>
      <c r="Q384" s="8">
        <v>3680.8</v>
      </c>
      <c r="R384" s="8">
        <v>1675.2</v>
      </c>
      <c r="S384" s="8">
        <v>1510.5</v>
      </c>
      <c r="T384" s="8">
        <v>3128.4</v>
      </c>
      <c r="U384" s="8">
        <v>2939.4</v>
      </c>
      <c r="V384" s="8">
        <v>21966.6</v>
      </c>
    </row>
    <row r="385" spans="1:22" x14ac:dyDescent="0.15">
      <c r="A385" s="9">
        <v>41426</v>
      </c>
      <c r="B385" s="8">
        <v>8516.9</v>
      </c>
      <c r="C385" s="8">
        <v>3602.2</v>
      </c>
      <c r="D385" s="8">
        <v>1641.1</v>
      </c>
      <c r="E385" s="8">
        <v>1537.4</v>
      </c>
      <c r="F385" s="8">
        <v>2873.9</v>
      </c>
      <c r="G385" s="8">
        <v>2813</v>
      </c>
      <c r="H385" s="8">
        <v>20984.5</v>
      </c>
      <c r="I385" s="8">
        <v>9027.7000000000007</v>
      </c>
      <c r="J385" s="8">
        <v>3659.3</v>
      </c>
      <c r="K385" s="8">
        <v>1689.3</v>
      </c>
      <c r="L385" s="8">
        <v>1535.3</v>
      </c>
      <c r="M385" s="8">
        <v>3111.1</v>
      </c>
      <c r="N385" s="8">
        <v>2970.7</v>
      </c>
      <c r="O385" s="8">
        <v>21993.4</v>
      </c>
      <c r="P385" s="8">
        <v>9056.4</v>
      </c>
      <c r="Q385" s="8">
        <v>3687.1</v>
      </c>
      <c r="R385" s="8">
        <v>1692.8</v>
      </c>
      <c r="S385" s="8">
        <v>1504.2</v>
      </c>
      <c r="T385" s="8">
        <v>3125.8</v>
      </c>
      <c r="U385" s="8">
        <v>2951.6</v>
      </c>
      <c r="V385" s="8">
        <v>22017.200000000001</v>
      </c>
    </row>
    <row r="386" spans="1:22" x14ac:dyDescent="0.15">
      <c r="A386" s="9">
        <v>41456</v>
      </c>
      <c r="B386" s="8">
        <v>8855.7999999999993</v>
      </c>
      <c r="C386" s="8">
        <v>3642.3</v>
      </c>
      <c r="D386" s="8">
        <v>1592.9</v>
      </c>
      <c r="E386" s="8">
        <v>1390.6</v>
      </c>
      <c r="F386" s="8">
        <v>3024.2</v>
      </c>
      <c r="G386" s="8">
        <v>2968.4</v>
      </c>
      <c r="H386" s="8">
        <v>21474.2</v>
      </c>
      <c r="I386" s="8">
        <v>9099.6</v>
      </c>
      <c r="J386" s="8">
        <v>3730</v>
      </c>
      <c r="K386" s="8">
        <v>1712.7</v>
      </c>
      <c r="L386" s="8">
        <v>1425.8</v>
      </c>
      <c r="M386" s="8">
        <v>3116.5</v>
      </c>
      <c r="N386" s="8">
        <v>2960</v>
      </c>
      <c r="O386" s="8">
        <v>22044.6</v>
      </c>
      <c r="P386" s="8">
        <v>9079.2999999999993</v>
      </c>
      <c r="Q386" s="8">
        <v>3695.5</v>
      </c>
      <c r="R386" s="8">
        <v>1720.8</v>
      </c>
      <c r="S386" s="8">
        <v>1502.3</v>
      </c>
      <c r="T386" s="8">
        <v>3127.9</v>
      </c>
      <c r="U386" s="8">
        <v>2966.7</v>
      </c>
      <c r="V386" s="8">
        <v>22091.7</v>
      </c>
    </row>
    <row r="387" spans="1:22" x14ac:dyDescent="0.15">
      <c r="A387" s="9">
        <v>41487</v>
      </c>
      <c r="B387" s="8">
        <v>9188.1</v>
      </c>
      <c r="C387" s="8">
        <v>3726.1</v>
      </c>
      <c r="D387" s="8">
        <v>1618.4</v>
      </c>
      <c r="E387" s="8">
        <v>1337.2</v>
      </c>
      <c r="F387" s="8">
        <v>3089.2</v>
      </c>
      <c r="G387" s="8">
        <v>3065.1</v>
      </c>
      <c r="H387" s="8">
        <v>22024</v>
      </c>
      <c r="I387" s="8">
        <v>9128.7999999999993</v>
      </c>
      <c r="J387" s="8">
        <v>3745.4</v>
      </c>
      <c r="K387" s="8">
        <v>1743.9</v>
      </c>
      <c r="L387" s="8">
        <v>1510.6</v>
      </c>
      <c r="M387" s="8">
        <v>3086.7</v>
      </c>
      <c r="N387" s="8">
        <v>2984.8</v>
      </c>
      <c r="O387" s="8">
        <v>22200.2</v>
      </c>
      <c r="P387" s="8">
        <v>9105.9</v>
      </c>
      <c r="Q387" s="8">
        <v>3705.9</v>
      </c>
      <c r="R387" s="8">
        <v>1748.1</v>
      </c>
      <c r="S387" s="8">
        <v>1505.9</v>
      </c>
      <c r="T387" s="8">
        <v>3137.7</v>
      </c>
      <c r="U387" s="8">
        <v>2992.3</v>
      </c>
      <c r="V387" s="8">
        <v>22196.9</v>
      </c>
    </row>
    <row r="388" spans="1:22" x14ac:dyDescent="0.15">
      <c r="A388" s="9">
        <v>41518</v>
      </c>
      <c r="B388" s="8">
        <v>8839.1</v>
      </c>
      <c r="C388" s="8">
        <v>3624.9</v>
      </c>
      <c r="D388" s="8">
        <v>1676.6</v>
      </c>
      <c r="E388" s="8">
        <v>1359.4</v>
      </c>
      <c r="F388" s="8">
        <v>3063.1</v>
      </c>
      <c r="G388" s="8">
        <v>2988.7</v>
      </c>
      <c r="H388" s="8">
        <v>21551.9</v>
      </c>
      <c r="I388" s="8">
        <v>9141.1</v>
      </c>
      <c r="J388" s="8">
        <v>3705.2</v>
      </c>
      <c r="K388" s="8">
        <v>1783.8</v>
      </c>
      <c r="L388" s="8">
        <v>1558.4</v>
      </c>
      <c r="M388" s="8">
        <v>3167.9</v>
      </c>
      <c r="N388" s="8">
        <v>2998</v>
      </c>
      <c r="O388" s="8">
        <v>22354.5</v>
      </c>
      <c r="P388" s="8">
        <v>9137.4</v>
      </c>
      <c r="Q388" s="8">
        <v>3714</v>
      </c>
      <c r="R388" s="8">
        <v>1771.8</v>
      </c>
      <c r="S388" s="8">
        <v>1513.7</v>
      </c>
      <c r="T388" s="8">
        <v>3163.6</v>
      </c>
      <c r="U388" s="8">
        <v>3027.2</v>
      </c>
      <c r="V388" s="8">
        <v>22328</v>
      </c>
    </row>
    <row r="389" spans="1:22" x14ac:dyDescent="0.15">
      <c r="A389" s="9">
        <v>41548</v>
      </c>
      <c r="B389" s="8">
        <v>9338.4</v>
      </c>
      <c r="C389" s="8">
        <v>3844.8</v>
      </c>
      <c r="D389" s="8">
        <v>1791.4</v>
      </c>
      <c r="E389" s="8">
        <v>1463.3</v>
      </c>
      <c r="F389" s="8">
        <v>3240.5</v>
      </c>
      <c r="G389" s="8">
        <v>3175.4</v>
      </c>
      <c r="H389" s="8">
        <v>22853.7</v>
      </c>
      <c r="I389" s="8">
        <v>9155.2999999999993</v>
      </c>
      <c r="J389" s="8">
        <v>3688.5</v>
      </c>
      <c r="K389" s="8">
        <v>1794.4</v>
      </c>
      <c r="L389" s="8">
        <v>1518.8</v>
      </c>
      <c r="M389" s="8">
        <v>3198.3</v>
      </c>
      <c r="N389" s="8">
        <v>3073.4</v>
      </c>
      <c r="O389" s="8">
        <v>22428.7</v>
      </c>
      <c r="P389" s="8">
        <v>9169.6</v>
      </c>
      <c r="Q389" s="8">
        <v>3729</v>
      </c>
      <c r="R389" s="8">
        <v>1787.9</v>
      </c>
      <c r="S389" s="8">
        <v>1519.6</v>
      </c>
      <c r="T389" s="8">
        <v>3192.9</v>
      </c>
      <c r="U389" s="8">
        <v>3070.4</v>
      </c>
      <c r="V389" s="8">
        <v>22471.4</v>
      </c>
    </row>
    <row r="390" spans="1:22" x14ac:dyDescent="0.15">
      <c r="A390" s="9">
        <v>41579</v>
      </c>
      <c r="B390" s="8">
        <v>9345.9</v>
      </c>
      <c r="C390" s="8">
        <v>3997.8</v>
      </c>
      <c r="D390" s="8">
        <v>1879.7</v>
      </c>
      <c r="E390" s="8">
        <v>1668.9</v>
      </c>
      <c r="F390" s="8">
        <v>3668.3</v>
      </c>
      <c r="G390" s="8">
        <v>3210.8</v>
      </c>
      <c r="H390" s="8">
        <v>23771.3</v>
      </c>
      <c r="I390" s="8">
        <v>9159.2999999999993</v>
      </c>
      <c r="J390" s="8">
        <v>3734.8</v>
      </c>
      <c r="K390" s="8">
        <v>1823</v>
      </c>
      <c r="L390" s="8">
        <v>1505.8</v>
      </c>
      <c r="M390" s="8">
        <v>3279.7</v>
      </c>
      <c r="N390" s="8">
        <v>3128.2</v>
      </c>
      <c r="O390" s="8">
        <v>22630.9</v>
      </c>
      <c r="P390" s="8">
        <v>9202.7000000000007</v>
      </c>
      <c r="Q390" s="8">
        <v>3750.4</v>
      </c>
      <c r="R390" s="8">
        <v>1794.1</v>
      </c>
      <c r="S390" s="8">
        <v>1521.9</v>
      </c>
      <c r="T390" s="8">
        <v>3221.9</v>
      </c>
      <c r="U390" s="8">
        <v>3118.5</v>
      </c>
      <c r="V390" s="8">
        <v>22618.1</v>
      </c>
    </row>
    <row r="391" spans="1:22" x14ac:dyDescent="0.15">
      <c r="A391" s="9">
        <v>41609</v>
      </c>
      <c r="B391" s="8">
        <v>10856.4</v>
      </c>
      <c r="C391" s="8">
        <v>4963.8</v>
      </c>
      <c r="D391" s="8">
        <v>2761.9</v>
      </c>
      <c r="E391" s="8">
        <v>2725.5</v>
      </c>
      <c r="F391" s="8">
        <v>4293.3</v>
      </c>
      <c r="G391" s="8">
        <v>3536.8</v>
      </c>
      <c r="H391" s="8">
        <v>29137.599999999999</v>
      </c>
      <c r="I391" s="8">
        <v>9413.7999999999993</v>
      </c>
      <c r="J391" s="8">
        <v>3786.3</v>
      </c>
      <c r="K391" s="8">
        <v>1761.6</v>
      </c>
      <c r="L391" s="8">
        <v>1522.3</v>
      </c>
      <c r="M391" s="8">
        <v>3223.3</v>
      </c>
      <c r="N391" s="8">
        <v>3170.7</v>
      </c>
      <c r="O391" s="8">
        <v>22878</v>
      </c>
      <c r="P391" s="8">
        <v>9402.7999999999993</v>
      </c>
      <c r="Q391" s="8">
        <v>3782.3</v>
      </c>
      <c r="R391" s="8">
        <v>1791.8</v>
      </c>
      <c r="S391" s="8">
        <v>1520.4</v>
      </c>
      <c r="T391" s="8">
        <v>3246.7</v>
      </c>
      <c r="U391" s="8">
        <v>3165.7</v>
      </c>
      <c r="V391" s="8">
        <v>22900.9</v>
      </c>
    </row>
    <row r="392" spans="1:22" x14ac:dyDescent="0.15">
      <c r="A392" s="9">
        <v>41640</v>
      </c>
      <c r="B392" s="8">
        <v>9701.6</v>
      </c>
      <c r="C392" s="8">
        <v>3810.6</v>
      </c>
      <c r="D392" s="8">
        <v>1718.2</v>
      </c>
      <c r="E392" s="8">
        <v>1451</v>
      </c>
      <c r="F392" s="8">
        <v>3070.1</v>
      </c>
      <c r="G392" s="8">
        <v>3209.1</v>
      </c>
      <c r="H392" s="8">
        <v>22960.6</v>
      </c>
      <c r="I392" s="8">
        <v>9509.5</v>
      </c>
      <c r="J392" s="8">
        <v>3823.6</v>
      </c>
      <c r="K392" s="8">
        <v>1773</v>
      </c>
      <c r="L392" s="8">
        <v>1531.3</v>
      </c>
      <c r="M392" s="8">
        <v>3239.4</v>
      </c>
      <c r="N392" s="8">
        <v>3224.2</v>
      </c>
      <c r="O392" s="8">
        <v>23101</v>
      </c>
      <c r="P392" s="8">
        <v>9422.1</v>
      </c>
      <c r="Q392" s="8">
        <v>3815.6</v>
      </c>
      <c r="R392" s="8">
        <v>1784.7</v>
      </c>
      <c r="S392" s="8">
        <v>1514.4</v>
      </c>
      <c r="T392" s="8">
        <v>3261.3</v>
      </c>
      <c r="U392" s="8">
        <v>3205.4</v>
      </c>
      <c r="V392" s="8">
        <v>23001.3</v>
      </c>
    </row>
    <row r="393" spans="1:22" x14ac:dyDescent="0.15">
      <c r="A393" s="9">
        <v>41671</v>
      </c>
      <c r="B393" s="8">
        <v>8667.9</v>
      </c>
      <c r="C393" s="8">
        <v>3362.4</v>
      </c>
      <c r="D393" s="8">
        <v>1416.4</v>
      </c>
      <c r="E393" s="8">
        <v>1064.9000000000001</v>
      </c>
      <c r="F393" s="8">
        <v>2903.6</v>
      </c>
      <c r="G393" s="8">
        <v>2879.9</v>
      </c>
      <c r="H393" s="8">
        <v>20295</v>
      </c>
      <c r="I393" s="8">
        <v>9418.6</v>
      </c>
      <c r="J393" s="8">
        <v>3872.2</v>
      </c>
      <c r="K393" s="8">
        <v>1790.6</v>
      </c>
      <c r="L393" s="8">
        <v>1501</v>
      </c>
      <c r="M393" s="8">
        <v>3291.5</v>
      </c>
      <c r="N393" s="8">
        <v>3218</v>
      </c>
      <c r="O393" s="8">
        <v>23091.9</v>
      </c>
      <c r="P393" s="8">
        <v>9443.9</v>
      </c>
      <c r="Q393" s="8">
        <v>3846.4</v>
      </c>
      <c r="R393" s="8">
        <v>1774.1</v>
      </c>
      <c r="S393" s="8">
        <v>1508</v>
      </c>
      <c r="T393" s="8">
        <v>3266.7</v>
      </c>
      <c r="U393" s="8">
        <v>3232.6</v>
      </c>
      <c r="V393" s="8">
        <v>23069</v>
      </c>
    </row>
    <row r="394" spans="1:22" x14ac:dyDescent="0.15">
      <c r="A394" s="9">
        <v>41699</v>
      </c>
      <c r="B394" s="8">
        <v>9524.6</v>
      </c>
      <c r="C394" s="8">
        <v>3627</v>
      </c>
      <c r="D394" s="8">
        <v>1609.5</v>
      </c>
      <c r="E394" s="8">
        <v>1293.2</v>
      </c>
      <c r="F394" s="8">
        <v>3099.9</v>
      </c>
      <c r="G394" s="8">
        <v>3232</v>
      </c>
      <c r="H394" s="8">
        <v>22386.2</v>
      </c>
      <c r="I394" s="8">
        <v>9455.1</v>
      </c>
      <c r="J394" s="8">
        <v>3882.8</v>
      </c>
      <c r="K394" s="8">
        <v>1768.5</v>
      </c>
      <c r="L394" s="8">
        <v>1476.9</v>
      </c>
      <c r="M394" s="8">
        <v>3261.9</v>
      </c>
      <c r="N394" s="8">
        <v>3261.3</v>
      </c>
      <c r="O394" s="8">
        <v>23106.6</v>
      </c>
      <c r="P394" s="8">
        <v>9462.5</v>
      </c>
      <c r="Q394" s="8">
        <v>3869</v>
      </c>
      <c r="R394" s="8">
        <v>1762.1</v>
      </c>
      <c r="S394" s="8">
        <v>1504.8</v>
      </c>
      <c r="T394" s="8">
        <v>3267</v>
      </c>
      <c r="U394" s="8">
        <v>3248.1</v>
      </c>
      <c r="V394" s="8">
        <v>23113.599999999999</v>
      </c>
    </row>
    <row r="395" spans="1:22" x14ac:dyDescent="0.15">
      <c r="A395" s="9">
        <v>41730</v>
      </c>
      <c r="B395" s="8">
        <v>9223.9</v>
      </c>
      <c r="C395" s="8">
        <v>3460.9</v>
      </c>
      <c r="D395" s="8">
        <v>1656.5</v>
      </c>
      <c r="E395" s="8">
        <v>1442.9</v>
      </c>
      <c r="F395" s="8">
        <v>3009.6</v>
      </c>
      <c r="G395" s="8">
        <v>3182.1</v>
      </c>
      <c r="H395" s="8">
        <v>21975.8</v>
      </c>
      <c r="I395" s="8">
        <v>9459.4</v>
      </c>
      <c r="J395" s="8">
        <v>3871.9</v>
      </c>
      <c r="K395" s="8">
        <v>1758</v>
      </c>
      <c r="L395" s="8">
        <v>1535.1</v>
      </c>
      <c r="M395" s="8">
        <v>3272.3</v>
      </c>
      <c r="N395" s="8">
        <v>3262.8</v>
      </c>
      <c r="O395" s="8">
        <v>23159.599999999999</v>
      </c>
      <c r="P395" s="8">
        <v>9482.5</v>
      </c>
      <c r="Q395" s="8">
        <v>3883</v>
      </c>
      <c r="R395" s="8">
        <v>1753</v>
      </c>
      <c r="S395" s="8">
        <v>1502.9</v>
      </c>
      <c r="T395" s="8">
        <v>3264.4</v>
      </c>
      <c r="U395" s="8">
        <v>3258.5</v>
      </c>
      <c r="V395" s="8">
        <v>23149.5</v>
      </c>
    </row>
    <row r="396" spans="1:22" x14ac:dyDescent="0.15">
      <c r="A396" s="9">
        <v>41760</v>
      </c>
      <c r="B396" s="8">
        <v>9386</v>
      </c>
      <c r="C396" s="8">
        <v>3653</v>
      </c>
      <c r="D396" s="8">
        <v>1780.5</v>
      </c>
      <c r="E396" s="8">
        <v>1411.8</v>
      </c>
      <c r="F396" s="8">
        <v>3160.5</v>
      </c>
      <c r="G396" s="8">
        <v>3228.3</v>
      </c>
      <c r="H396" s="8">
        <v>22620.1</v>
      </c>
      <c r="I396" s="8">
        <v>9490.7999999999993</v>
      </c>
      <c r="J396" s="8">
        <v>3858.4</v>
      </c>
      <c r="K396" s="8">
        <v>1731.7</v>
      </c>
      <c r="L396" s="8">
        <v>1493.6</v>
      </c>
      <c r="M396" s="8">
        <v>3260.2</v>
      </c>
      <c r="N396" s="8">
        <v>3266.7</v>
      </c>
      <c r="O396" s="8">
        <v>23101.200000000001</v>
      </c>
      <c r="P396" s="8">
        <v>9511.2999999999993</v>
      </c>
      <c r="Q396" s="8">
        <v>3894.3</v>
      </c>
      <c r="R396" s="8">
        <v>1748.9</v>
      </c>
      <c r="S396" s="8">
        <v>1501.3</v>
      </c>
      <c r="T396" s="8">
        <v>3270.9</v>
      </c>
      <c r="U396" s="8">
        <v>3267</v>
      </c>
      <c r="V396" s="8">
        <v>23194.7</v>
      </c>
    </row>
    <row r="397" spans="1:22" x14ac:dyDescent="0.15">
      <c r="A397" s="9">
        <v>41791</v>
      </c>
      <c r="B397" s="8">
        <v>8977.5</v>
      </c>
      <c r="C397" s="8">
        <v>3844.1</v>
      </c>
      <c r="D397" s="8">
        <v>1680.8</v>
      </c>
      <c r="E397" s="8">
        <v>1461.6</v>
      </c>
      <c r="F397" s="8">
        <v>3029.7</v>
      </c>
      <c r="G397" s="8">
        <v>3067.5</v>
      </c>
      <c r="H397" s="8">
        <v>22061.3</v>
      </c>
      <c r="I397" s="8">
        <v>9568</v>
      </c>
      <c r="J397" s="8">
        <v>3920.4</v>
      </c>
      <c r="K397" s="8">
        <v>1743.6</v>
      </c>
      <c r="L397" s="8">
        <v>1482</v>
      </c>
      <c r="M397" s="8">
        <v>3269</v>
      </c>
      <c r="N397" s="8">
        <v>3243</v>
      </c>
      <c r="O397" s="8">
        <v>23226</v>
      </c>
      <c r="P397" s="8">
        <v>9549.4</v>
      </c>
      <c r="Q397" s="8">
        <v>3903.1</v>
      </c>
      <c r="R397" s="8">
        <v>1751.4</v>
      </c>
      <c r="S397" s="8">
        <v>1501.3</v>
      </c>
      <c r="T397" s="8">
        <v>3279</v>
      </c>
      <c r="U397" s="8">
        <v>3275.4</v>
      </c>
      <c r="V397" s="8">
        <v>23260.3</v>
      </c>
    </row>
    <row r="398" spans="1:22" x14ac:dyDescent="0.15">
      <c r="A398" s="9">
        <v>41821</v>
      </c>
      <c r="B398" s="8">
        <v>9393.2999999999993</v>
      </c>
      <c r="C398" s="8">
        <v>3878.1</v>
      </c>
      <c r="D398" s="8">
        <v>1649</v>
      </c>
      <c r="E398" s="8">
        <v>1501.6</v>
      </c>
      <c r="F398" s="8">
        <v>3179.3</v>
      </c>
      <c r="G398" s="8">
        <v>3315.8</v>
      </c>
      <c r="H398" s="8">
        <v>22917.200000000001</v>
      </c>
      <c r="I398" s="8">
        <v>9604.5</v>
      </c>
      <c r="J398" s="8">
        <v>3934.2</v>
      </c>
      <c r="K398" s="8">
        <v>1753.3</v>
      </c>
      <c r="L398" s="8">
        <v>1539.1</v>
      </c>
      <c r="M398" s="8">
        <v>3275.3</v>
      </c>
      <c r="N398" s="8">
        <v>3295</v>
      </c>
      <c r="O398" s="8">
        <v>23401.5</v>
      </c>
      <c r="P398" s="8">
        <v>9596</v>
      </c>
      <c r="Q398" s="8">
        <v>3914.9</v>
      </c>
      <c r="R398" s="8">
        <v>1755.1</v>
      </c>
      <c r="S398" s="8">
        <v>1502.8</v>
      </c>
      <c r="T398" s="8">
        <v>3291.9</v>
      </c>
      <c r="U398" s="8">
        <v>3282.7</v>
      </c>
      <c r="V398" s="8">
        <v>23342.3</v>
      </c>
    </row>
    <row r="399" spans="1:22" x14ac:dyDescent="0.15">
      <c r="A399" s="9">
        <v>41852</v>
      </c>
      <c r="B399" s="8">
        <v>9582.4</v>
      </c>
      <c r="C399" s="8">
        <v>3846.1</v>
      </c>
      <c r="D399" s="8">
        <v>1604.1</v>
      </c>
      <c r="E399" s="8">
        <v>1254.2</v>
      </c>
      <c r="F399" s="8">
        <v>3260.7</v>
      </c>
      <c r="G399" s="8">
        <v>3350.7</v>
      </c>
      <c r="H399" s="8">
        <v>22898.2</v>
      </c>
      <c r="I399" s="8">
        <v>9644.7000000000007</v>
      </c>
      <c r="J399" s="8">
        <v>3921.8</v>
      </c>
      <c r="K399" s="8">
        <v>1772.1</v>
      </c>
      <c r="L399" s="8">
        <v>1474.8</v>
      </c>
      <c r="M399" s="8">
        <v>3323.9</v>
      </c>
      <c r="N399" s="8">
        <v>3298.7</v>
      </c>
      <c r="O399" s="8">
        <v>23435.9</v>
      </c>
      <c r="P399" s="8">
        <v>9641</v>
      </c>
      <c r="Q399" s="8">
        <v>3926</v>
      </c>
      <c r="R399" s="8">
        <v>1766.5</v>
      </c>
      <c r="S399" s="8">
        <v>1506.5</v>
      </c>
      <c r="T399" s="8">
        <v>3300.6</v>
      </c>
      <c r="U399" s="8">
        <v>3291</v>
      </c>
      <c r="V399" s="8">
        <v>23429</v>
      </c>
    </row>
    <row r="400" spans="1:22" x14ac:dyDescent="0.15">
      <c r="A400" s="9">
        <v>41883</v>
      </c>
      <c r="B400" s="8">
        <v>9353.7999999999993</v>
      </c>
      <c r="C400" s="8">
        <v>4033.2</v>
      </c>
      <c r="D400" s="8">
        <v>1691.2</v>
      </c>
      <c r="E400" s="8">
        <v>1356.4</v>
      </c>
      <c r="F400" s="8">
        <v>3262.1</v>
      </c>
      <c r="G400" s="8">
        <v>3360.4</v>
      </c>
      <c r="H400" s="8">
        <v>23057.200000000001</v>
      </c>
      <c r="I400" s="8">
        <v>9664.7999999999993</v>
      </c>
      <c r="J400" s="8">
        <v>4082.3</v>
      </c>
      <c r="K400" s="8">
        <v>1783.9</v>
      </c>
      <c r="L400" s="8">
        <v>1519.4</v>
      </c>
      <c r="M400" s="8">
        <v>3308.9</v>
      </c>
      <c r="N400" s="8">
        <v>3323.1</v>
      </c>
      <c r="O400" s="8">
        <v>23682.400000000001</v>
      </c>
      <c r="P400" s="8">
        <v>9674.7999999999993</v>
      </c>
      <c r="Q400" s="8">
        <v>4098.8</v>
      </c>
      <c r="R400" s="8">
        <v>1778.2</v>
      </c>
      <c r="S400" s="8">
        <v>1510.9</v>
      </c>
      <c r="T400" s="8">
        <v>3303.6</v>
      </c>
      <c r="U400" s="8">
        <v>3301.6</v>
      </c>
      <c r="V400" s="8">
        <v>23665.5</v>
      </c>
    </row>
    <row r="401" spans="1:22" x14ac:dyDescent="0.15">
      <c r="A401" s="9">
        <v>41913</v>
      </c>
      <c r="B401" s="8">
        <v>9964.4</v>
      </c>
      <c r="C401" s="8">
        <v>4278.7</v>
      </c>
      <c r="D401" s="8">
        <v>1791.5</v>
      </c>
      <c r="E401" s="8">
        <v>1478.7</v>
      </c>
      <c r="F401" s="8">
        <v>3417.8</v>
      </c>
      <c r="G401" s="8">
        <v>3401.6</v>
      </c>
      <c r="H401" s="8">
        <v>24332.7</v>
      </c>
      <c r="I401" s="8">
        <v>9707.4</v>
      </c>
      <c r="J401" s="8">
        <v>4115.8999999999996</v>
      </c>
      <c r="K401" s="8">
        <v>1801.7</v>
      </c>
      <c r="L401" s="8">
        <v>1512.3</v>
      </c>
      <c r="M401" s="8">
        <v>3345.2</v>
      </c>
      <c r="N401" s="8">
        <v>3290.2</v>
      </c>
      <c r="O401" s="8">
        <v>23772.7</v>
      </c>
      <c r="P401" s="8">
        <v>9700.2000000000007</v>
      </c>
      <c r="Q401" s="8">
        <v>4111.3999999999996</v>
      </c>
      <c r="R401" s="8">
        <v>1790.4</v>
      </c>
      <c r="S401" s="8">
        <v>1516.1</v>
      </c>
      <c r="T401" s="8">
        <v>3307.8</v>
      </c>
      <c r="U401" s="8">
        <v>3315.7</v>
      </c>
      <c r="V401" s="8">
        <v>23743.9</v>
      </c>
    </row>
    <row r="402" spans="1:22" x14ac:dyDescent="0.15">
      <c r="A402" s="9">
        <v>41944</v>
      </c>
      <c r="B402" s="8">
        <v>9911.1</v>
      </c>
      <c r="C402" s="8">
        <v>4421.3</v>
      </c>
      <c r="D402" s="8">
        <v>1821</v>
      </c>
      <c r="E402" s="8">
        <v>1687.7</v>
      </c>
      <c r="F402" s="8">
        <v>3577.5</v>
      </c>
      <c r="G402" s="8">
        <v>3374.9</v>
      </c>
      <c r="H402" s="8">
        <v>24793.5</v>
      </c>
      <c r="I402" s="8">
        <v>9743.4</v>
      </c>
      <c r="J402" s="8">
        <v>4138.1000000000004</v>
      </c>
      <c r="K402" s="8">
        <v>1782.8</v>
      </c>
      <c r="L402" s="8">
        <v>1527.7</v>
      </c>
      <c r="M402" s="8">
        <v>3268</v>
      </c>
      <c r="N402" s="8">
        <v>3319.4</v>
      </c>
      <c r="O402" s="8">
        <v>23779.5</v>
      </c>
      <c r="P402" s="8">
        <v>9725.2999999999993</v>
      </c>
      <c r="Q402" s="8">
        <v>4125.1000000000004</v>
      </c>
      <c r="R402" s="8">
        <v>1802.9</v>
      </c>
      <c r="S402" s="8">
        <v>1521.9</v>
      </c>
      <c r="T402" s="8">
        <v>3316</v>
      </c>
      <c r="U402" s="8">
        <v>3330.2</v>
      </c>
      <c r="V402" s="8">
        <v>23821</v>
      </c>
    </row>
    <row r="403" spans="1:22" x14ac:dyDescent="0.15">
      <c r="A403" s="9">
        <v>41974</v>
      </c>
      <c r="B403" s="8">
        <v>11271.6</v>
      </c>
      <c r="C403" s="8">
        <v>5357.5</v>
      </c>
      <c r="D403" s="8">
        <v>2907</v>
      </c>
      <c r="E403" s="8">
        <v>2756.9</v>
      </c>
      <c r="F403" s="8">
        <v>4440.3</v>
      </c>
      <c r="G403" s="8">
        <v>3692.7</v>
      </c>
      <c r="H403" s="8">
        <v>30425.9</v>
      </c>
      <c r="I403" s="8">
        <v>9743.2000000000007</v>
      </c>
      <c r="J403" s="8">
        <v>4118.8</v>
      </c>
      <c r="K403" s="8">
        <v>1828.1</v>
      </c>
      <c r="L403" s="8">
        <v>1525.9</v>
      </c>
      <c r="M403" s="8">
        <v>3304.9</v>
      </c>
      <c r="N403" s="8">
        <v>3328.2</v>
      </c>
      <c r="O403" s="8">
        <v>23849.200000000001</v>
      </c>
      <c r="P403" s="8">
        <v>9742.7000000000007</v>
      </c>
      <c r="Q403" s="8">
        <v>4141.7</v>
      </c>
      <c r="R403" s="8">
        <v>1819.2</v>
      </c>
      <c r="S403" s="8">
        <v>1526.5</v>
      </c>
      <c r="T403" s="8">
        <v>3324.2</v>
      </c>
      <c r="U403" s="8">
        <v>3342.9</v>
      </c>
      <c r="V403" s="8">
        <v>23898.2</v>
      </c>
    </row>
    <row r="404" spans="1:22" x14ac:dyDescent="0.15">
      <c r="A404" s="9">
        <v>42005</v>
      </c>
      <c r="B404" s="8">
        <v>9955.4</v>
      </c>
      <c r="C404" s="8">
        <v>4157.8999999999996</v>
      </c>
      <c r="D404" s="8">
        <v>1796.2</v>
      </c>
      <c r="E404" s="8">
        <v>1471.2</v>
      </c>
      <c r="F404" s="8">
        <v>3152.6</v>
      </c>
      <c r="G404" s="8">
        <v>3391.3</v>
      </c>
      <c r="H404" s="8">
        <v>23924.6</v>
      </c>
      <c r="I404" s="8">
        <v>9724.2000000000007</v>
      </c>
      <c r="J404" s="8">
        <v>4151.5</v>
      </c>
      <c r="K404" s="8">
        <v>1830.2</v>
      </c>
      <c r="L404" s="8">
        <v>1548.4</v>
      </c>
      <c r="M404" s="8">
        <v>3333.7</v>
      </c>
      <c r="N404" s="8">
        <v>3391.4</v>
      </c>
      <c r="O404" s="8">
        <v>23979.4</v>
      </c>
      <c r="P404" s="8">
        <v>9762</v>
      </c>
      <c r="Q404" s="8">
        <v>4160.8999999999996</v>
      </c>
      <c r="R404" s="8">
        <v>1835</v>
      </c>
      <c r="S404" s="8">
        <v>1528.6</v>
      </c>
      <c r="T404" s="8">
        <v>3337.4</v>
      </c>
      <c r="U404" s="8">
        <v>3353.1</v>
      </c>
      <c r="V404" s="8">
        <v>23977.7</v>
      </c>
    </row>
    <row r="405" spans="1:22" x14ac:dyDescent="0.15">
      <c r="A405" s="9">
        <v>42036</v>
      </c>
      <c r="B405" s="8">
        <v>9020</v>
      </c>
      <c r="C405" s="8">
        <v>3682.4</v>
      </c>
      <c r="D405" s="8">
        <v>1456.2</v>
      </c>
      <c r="E405" s="8">
        <v>1053.8</v>
      </c>
      <c r="F405" s="8">
        <v>2999.9</v>
      </c>
      <c r="G405" s="8">
        <v>3027.5</v>
      </c>
      <c r="H405" s="8">
        <v>21239.9</v>
      </c>
      <c r="I405" s="8">
        <v>9809.4</v>
      </c>
      <c r="J405" s="8">
        <v>4226.3999999999996</v>
      </c>
      <c r="K405" s="8">
        <v>1835.5</v>
      </c>
      <c r="L405" s="8">
        <v>1489.7</v>
      </c>
      <c r="M405" s="8">
        <v>3399.5</v>
      </c>
      <c r="N405" s="8">
        <v>3384</v>
      </c>
      <c r="O405" s="8">
        <v>24144.5</v>
      </c>
      <c r="P405" s="8">
        <v>9780.4</v>
      </c>
      <c r="Q405" s="8">
        <v>4181.1000000000004</v>
      </c>
      <c r="R405" s="8">
        <v>1849.3</v>
      </c>
      <c r="S405" s="8">
        <v>1528</v>
      </c>
      <c r="T405" s="8">
        <v>3352.1</v>
      </c>
      <c r="U405" s="8">
        <v>3364.9</v>
      </c>
      <c r="V405" s="8">
        <v>24056.1</v>
      </c>
    </row>
    <row r="406" spans="1:22" x14ac:dyDescent="0.15">
      <c r="A406" s="9">
        <v>42064</v>
      </c>
      <c r="B406" s="8">
        <v>9926.5</v>
      </c>
      <c r="C406" s="8">
        <v>3983.5</v>
      </c>
      <c r="D406" s="8">
        <v>1702</v>
      </c>
      <c r="E406" s="8">
        <v>1367.2</v>
      </c>
      <c r="F406" s="8">
        <v>3243.1</v>
      </c>
      <c r="G406" s="8">
        <v>3361.9</v>
      </c>
      <c r="H406" s="8">
        <v>23584.2</v>
      </c>
      <c r="I406" s="8">
        <v>9792.6</v>
      </c>
      <c r="J406" s="8">
        <v>4189</v>
      </c>
      <c r="K406" s="8">
        <v>1873.5</v>
      </c>
      <c r="L406" s="8">
        <v>1558.7</v>
      </c>
      <c r="M406" s="8">
        <v>3373.3</v>
      </c>
      <c r="N406" s="8">
        <v>3340.6</v>
      </c>
      <c r="O406" s="8">
        <v>24127.8</v>
      </c>
      <c r="P406" s="8">
        <v>9801.9</v>
      </c>
      <c r="Q406" s="8">
        <v>4198.8999999999996</v>
      </c>
      <c r="R406" s="8">
        <v>1862.1</v>
      </c>
      <c r="S406" s="8">
        <v>1527.2</v>
      </c>
      <c r="T406" s="8">
        <v>3365.9</v>
      </c>
      <c r="U406" s="8">
        <v>3373.5</v>
      </c>
      <c r="V406" s="8">
        <v>24131.8</v>
      </c>
    </row>
    <row r="407" spans="1:22" x14ac:dyDescent="0.15">
      <c r="A407" s="9">
        <v>42095</v>
      </c>
      <c r="B407" s="8">
        <v>9538</v>
      </c>
      <c r="C407" s="8">
        <v>3713.9</v>
      </c>
      <c r="D407" s="8">
        <v>1793.4</v>
      </c>
      <c r="E407" s="8">
        <v>1442.2</v>
      </c>
      <c r="F407" s="8">
        <v>3058.8</v>
      </c>
      <c r="G407" s="8">
        <v>3266.5</v>
      </c>
      <c r="H407" s="8">
        <v>22812.9</v>
      </c>
      <c r="I407" s="8">
        <v>9819.7000000000007</v>
      </c>
      <c r="J407" s="8">
        <v>4197.1000000000004</v>
      </c>
      <c r="K407" s="8">
        <v>1903.7</v>
      </c>
      <c r="L407" s="8">
        <v>1532.6</v>
      </c>
      <c r="M407" s="8">
        <v>3355.5</v>
      </c>
      <c r="N407" s="8">
        <v>3379.1</v>
      </c>
      <c r="O407" s="8">
        <v>24187.7</v>
      </c>
      <c r="P407" s="8">
        <v>9828.6</v>
      </c>
      <c r="Q407" s="8">
        <v>4220.3999999999996</v>
      </c>
      <c r="R407" s="8">
        <v>1872.4</v>
      </c>
      <c r="S407" s="8">
        <v>1529.3</v>
      </c>
      <c r="T407" s="8">
        <v>3377.3</v>
      </c>
      <c r="U407" s="8">
        <v>3382.6</v>
      </c>
      <c r="V407" s="8">
        <v>24206.3</v>
      </c>
    </row>
    <row r="408" spans="1:22" x14ac:dyDescent="0.15">
      <c r="A408" s="9">
        <v>42125</v>
      </c>
      <c r="B408" s="8">
        <v>9707.1</v>
      </c>
      <c r="C408" s="8">
        <v>3976.9</v>
      </c>
      <c r="D408" s="8">
        <v>1891.2</v>
      </c>
      <c r="E408" s="8">
        <v>1428.7</v>
      </c>
      <c r="F408" s="8">
        <v>3214.7</v>
      </c>
      <c r="G408" s="8">
        <v>3314</v>
      </c>
      <c r="H408" s="8">
        <v>23532.6</v>
      </c>
      <c r="I408" s="8">
        <v>9859.2000000000007</v>
      </c>
      <c r="J408" s="8">
        <v>4229.3</v>
      </c>
      <c r="K408" s="8">
        <v>1877.7</v>
      </c>
      <c r="L408" s="8">
        <v>1518.5</v>
      </c>
      <c r="M408" s="8">
        <v>3368.5</v>
      </c>
      <c r="N408" s="8">
        <v>3373</v>
      </c>
      <c r="O408" s="8">
        <v>24226.400000000001</v>
      </c>
      <c r="P408" s="8">
        <v>9850.2999999999993</v>
      </c>
      <c r="Q408" s="8">
        <v>4243.2</v>
      </c>
      <c r="R408" s="8">
        <v>1875.6</v>
      </c>
      <c r="S408" s="8">
        <v>1534.4</v>
      </c>
      <c r="T408" s="8">
        <v>3390.6</v>
      </c>
      <c r="U408" s="8">
        <v>3389.8</v>
      </c>
      <c r="V408" s="8">
        <v>24282.7</v>
      </c>
    </row>
    <row r="409" spans="1:22" x14ac:dyDescent="0.15">
      <c r="A409" s="9">
        <v>42156</v>
      </c>
      <c r="B409" s="8">
        <v>9217.7999999999993</v>
      </c>
      <c r="C409" s="8">
        <v>4319.2</v>
      </c>
      <c r="D409" s="8">
        <v>1774.7</v>
      </c>
      <c r="E409" s="8">
        <v>1480.9</v>
      </c>
      <c r="F409" s="8">
        <v>3243.5</v>
      </c>
      <c r="G409" s="8">
        <v>3257.5</v>
      </c>
      <c r="H409" s="8">
        <v>23293.5</v>
      </c>
      <c r="I409" s="8">
        <v>9886.1</v>
      </c>
      <c r="J409" s="8">
        <v>4301.5</v>
      </c>
      <c r="K409" s="8">
        <v>1822.7</v>
      </c>
      <c r="L409" s="8">
        <v>1510.6</v>
      </c>
      <c r="M409" s="8">
        <v>3435</v>
      </c>
      <c r="N409" s="8">
        <v>3424.6</v>
      </c>
      <c r="O409" s="8">
        <v>24380.6</v>
      </c>
      <c r="P409" s="8">
        <v>9871.7999999999993</v>
      </c>
      <c r="Q409" s="8">
        <v>4267.7</v>
      </c>
      <c r="R409" s="8">
        <v>1875</v>
      </c>
      <c r="S409" s="8">
        <v>1542.8</v>
      </c>
      <c r="T409" s="8">
        <v>3407.1</v>
      </c>
      <c r="U409" s="8">
        <v>3397.3</v>
      </c>
      <c r="V409" s="8">
        <v>24365.200000000001</v>
      </c>
    </row>
    <row r="410" spans="1:22" x14ac:dyDescent="0.15">
      <c r="A410" s="9">
        <v>42186</v>
      </c>
      <c r="B410" s="8">
        <v>9718</v>
      </c>
      <c r="C410" s="8">
        <v>4186.1000000000004</v>
      </c>
      <c r="D410" s="8">
        <v>1788.5</v>
      </c>
      <c r="E410" s="8">
        <v>1540.9</v>
      </c>
      <c r="F410" s="8">
        <v>3337.2</v>
      </c>
      <c r="G410" s="8">
        <v>3445.3</v>
      </c>
      <c r="H410" s="8">
        <v>24015.9</v>
      </c>
      <c r="I410" s="8">
        <v>9888.5</v>
      </c>
      <c r="J410" s="8">
        <v>4281.8</v>
      </c>
      <c r="K410" s="8">
        <v>1898.4</v>
      </c>
      <c r="L410" s="8">
        <v>1585.7</v>
      </c>
      <c r="M410" s="8">
        <v>3402.7</v>
      </c>
      <c r="N410" s="8">
        <v>3419.4</v>
      </c>
      <c r="O410" s="8">
        <v>24476.5</v>
      </c>
      <c r="P410" s="8">
        <v>9896.4</v>
      </c>
      <c r="Q410" s="8">
        <v>4294.8999999999996</v>
      </c>
      <c r="R410" s="8">
        <v>1876.2</v>
      </c>
      <c r="S410" s="8">
        <v>1553</v>
      </c>
      <c r="T410" s="8">
        <v>3433.7</v>
      </c>
      <c r="U410" s="8">
        <v>3404.4</v>
      </c>
      <c r="V410" s="8">
        <v>24457</v>
      </c>
    </row>
    <row r="411" spans="1:22" x14ac:dyDescent="0.15">
      <c r="A411" s="9">
        <v>42217</v>
      </c>
      <c r="B411" s="8">
        <v>9834.7999999999993</v>
      </c>
      <c r="C411" s="8">
        <v>4159.8</v>
      </c>
      <c r="D411" s="8">
        <v>1697.1</v>
      </c>
      <c r="E411" s="8">
        <v>1331.9</v>
      </c>
      <c r="F411" s="8">
        <v>3379.5</v>
      </c>
      <c r="G411" s="8">
        <v>3421.1</v>
      </c>
      <c r="H411" s="8">
        <v>23824.2</v>
      </c>
      <c r="I411" s="8">
        <v>9918.5</v>
      </c>
      <c r="J411" s="8">
        <v>4323</v>
      </c>
      <c r="K411" s="8">
        <v>1882.9</v>
      </c>
      <c r="L411" s="8">
        <v>1586.3</v>
      </c>
      <c r="M411" s="8">
        <v>3455.3</v>
      </c>
      <c r="N411" s="8">
        <v>3394.3</v>
      </c>
      <c r="O411" s="8">
        <v>24560.2</v>
      </c>
      <c r="P411" s="8">
        <v>9927.4</v>
      </c>
      <c r="Q411" s="8">
        <v>4322.8</v>
      </c>
      <c r="R411" s="8">
        <v>1878.3</v>
      </c>
      <c r="S411" s="8">
        <v>1564</v>
      </c>
      <c r="T411" s="8">
        <v>3454.5</v>
      </c>
      <c r="U411" s="8">
        <v>3408.9</v>
      </c>
      <c r="V411" s="8">
        <v>24556.6</v>
      </c>
    </row>
    <row r="412" spans="1:22" x14ac:dyDescent="0.15">
      <c r="A412" s="9">
        <v>42248</v>
      </c>
      <c r="B412" s="8">
        <v>9645.7999999999993</v>
      </c>
      <c r="C412" s="8">
        <v>4273.8999999999996</v>
      </c>
      <c r="D412" s="8">
        <v>1790.1</v>
      </c>
      <c r="E412" s="8">
        <v>1400.1</v>
      </c>
      <c r="F412" s="8">
        <v>3454.5</v>
      </c>
      <c r="G412" s="8">
        <v>3444.4</v>
      </c>
      <c r="H412" s="8">
        <v>24008.9</v>
      </c>
      <c r="I412" s="8">
        <v>9934</v>
      </c>
      <c r="J412" s="8">
        <v>4346.1000000000004</v>
      </c>
      <c r="K412" s="8">
        <v>1895.5</v>
      </c>
      <c r="L412" s="8">
        <v>1541.9</v>
      </c>
      <c r="M412" s="8">
        <v>3505.7</v>
      </c>
      <c r="N412" s="8">
        <v>3412.1</v>
      </c>
      <c r="O412" s="8">
        <v>24635.3</v>
      </c>
      <c r="P412" s="8">
        <v>9962.4</v>
      </c>
      <c r="Q412" s="8">
        <v>4347</v>
      </c>
      <c r="R412" s="8">
        <v>1885</v>
      </c>
      <c r="S412" s="8">
        <v>1574.6</v>
      </c>
      <c r="T412" s="8">
        <v>3471.5</v>
      </c>
      <c r="U412" s="8">
        <v>3412.3</v>
      </c>
      <c r="V412" s="8">
        <v>24655</v>
      </c>
    </row>
    <row r="413" spans="1:22" x14ac:dyDescent="0.15">
      <c r="A413" s="9">
        <v>42278</v>
      </c>
      <c r="B413" s="8">
        <v>10319.200000000001</v>
      </c>
      <c r="C413" s="8">
        <v>4567.8999999999996</v>
      </c>
      <c r="D413" s="8">
        <v>1888.5</v>
      </c>
      <c r="E413" s="8">
        <v>1566.3</v>
      </c>
      <c r="F413" s="8">
        <v>3579.5</v>
      </c>
      <c r="G413" s="8">
        <v>3525.8</v>
      </c>
      <c r="H413" s="8">
        <v>25447.3</v>
      </c>
      <c r="I413" s="8">
        <v>10015.9</v>
      </c>
      <c r="J413" s="8">
        <v>4365.5</v>
      </c>
      <c r="K413" s="8">
        <v>1889.2</v>
      </c>
      <c r="L413" s="8">
        <v>1591.9</v>
      </c>
      <c r="M413" s="8">
        <v>3502.1</v>
      </c>
      <c r="N413" s="8">
        <v>3399</v>
      </c>
      <c r="O413" s="8">
        <v>24763.7</v>
      </c>
      <c r="P413" s="8">
        <v>9996.9</v>
      </c>
      <c r="Q413" s="8">
        <v>4366.1000000000004</v>
      </c>
      <c r="R413" s="8">
        <v>1893.9</v>
      </c>
      <c r="S413" s="8">
        <v>1584.4</v>
      </c>
      <c r="T413" s="8">
        <v>3492.1</v>
      </c>
      <c r="U413" s="8">
        <v>3415</v>
      </c>
      <c r="V413" s="8">
        <v>24746.5</v>
      </c>
    </row>
    <row r="414" spans="1:22" x14ac:dyDescent="0.15">
      <c r="A414" s="9">
        <v>42309</v>
      </c>
      <c r="B414" s="8">
        <v>10128.5</v>
      </c>
      <c r="C414" s="8">
        <v>4692.8</v>
      </c>
      <c r="D414" s="8">
        <v>1915.6</v>
      </c>
      <c r="E414" s="8">
        <v>1730.5</v>
      </c>
      <c r="F414" s="8">
        <v>3824.9</v>
      </c>
      <c r="G414" s="8">
        <v>3491.3</v>
      </c>
      <c r="H414" s="8">
        <v>25783.5</v>
      </c>
      <c r="I414" s="8">
        <v>10032.5</v>
      </c>
      <c r="J414" s="8">
        <v>4388.3999999999996</v>
      </c>
      <c r="K414" s="8">
        <v>1888.4</v>
      </c>
      <c r="L414" s="8">
        <v>1590</v>
      </c>
      <c r="M414" s="8">
        <v>3488.7</v>
      </c>
      <c r="N414" s="8">
        <v>3431.6</v>
      </c>
      <c r="O414" s="8">
        <v>24819.599999999999</v>
      </c>
      <c r="P414" s="8">
        <v>10029</v>
      </c>
      <c r="Q414" s="8">
        <v>4384.2</v>
      </c>
      <c r="R414" s="8">
        <v>1905.8</v>
      </c>
      <c r="S414" s="8">
        <v>1591</v>
      </c>
      <c r="T414" s="8">
        <v>3505.5</v>
      </c>
      <c r="U414" s="8">
        <v>3420.7</v>
      </c>
      <c r="V414" s="8">
        <v>24833.4</v>
      </c>
    </row>
    <row r="415" spans="1:22" x14ac:dyDescent="0.15">
      <c r="A415" s="9">
        <v>42339</v>
      </c>
      <c r="B415" s="8">
        <v>11731.2</v>
      </c>
      <c r="C415" s="8">
        <v>5735.9</v>
      </c>
      <c r="D415" s="8">
        <v>3079.9</v>
      </c>
      <c r="E415" s="8">
        <v>2913.6</v>
      </c>
      <c r="F415" s="8">
        <v>4642.5</v>
      </c>
      <c r="G415" s="8">
        <v>3819.9</v>
      </c>
      <c r="H415" s="8">
        <v>31923</v>
      </c>
      <c r="I415" s="8">
        <v>10082</v>
      </c>
      <c r="J415" s="8">
        <v>4400.8999999999996</v>
      </c>
      <c r="K415" s="8">
        <v>1917.8</v>
      </c>
      <c r="L415" s="8">
        <v>1592.5</v>
      </c>
      <c r="M415" s="8">
        <v>3485.2</v>
      </c>
      <c r="N415" s="8">
        <v>3433.4</v>
      </c>
      <c r="O415" s="8">
        <v>24912</v>
      </c>
      <c r="P415" s="8">
        <v>10051.299999999999</v>
      </c>
      <c r="Q415" s="8">
        <v>4399.7</v>
      </c>
      <c r="R415" s="8">
        <v>1918.7</v>
      </c>
      <c r="S415" s="8">
        <v>1594.4</v>
      </c>
      <c r="T415" s="8">
        <v>3517.1</v>
      </c>
      <c r="U415" s="8">
        <v>3429.7</v>
      </c>
      <c r="V415" s="8">
        <v>24910.799999999999</v>
      </c>
    </row>
    <row r="416" spans="1:22" x14ac:dyDescent="0.15">
      <c r="A416" s="9">
        <v>42370</v>
      </c>
      <c r="B416" s="8">
        <v>10244.9</v>
      </c>
      <c r="C416" s="8">
        <v>4376.7</v>
      </c>
      <c r="D416" s="8">
        <v>1875.7</v>
      </c>
      <c r="E416" s="8">
        <v>1519.2</v>
      </c>
      <c r="F416" s="8">
        <v>3304.9</v>
      </c>
      <c r="G416" s="8">
        <v>3431.8</v>
      </c>
      <c r="H416" s="8">
        <v>24753.1</v>
      </c>
      <c r="I416" s="8">
        <v>10052.9</v>
      </c>
      <c r="J416" s="8">
        <v>4400</v>
      </c>
      <c r="K416" s="8">
        <v>1936.6</v>
      </c>
      <c r="L416" s="8">
        <v>1610.3</v>
      </c>
      <c r="M416" s="8">
        <v>3554</v>
      </c>
      <c r="N416" s="8">
        <v>3444.3</v>
      </c>
      <c r="O416" s="8">
        <v>24998.1</v>
      </c>
      <c r="P416" s="8">
        <v>10062.299999999999</v>
      </c>
      <c r="Q416" s="8">
        <v>4409.5</v>
      </c>
      <c r="R416" s="8">
        <v>1932.4</v>
      </c>
      <c r="S416" s="8">
        <v>1595.9</v>
      </c>
      <c r="T416" s="8">
        <v>3530.1</v>
      </c>
      <c r="U416" s="8">
        <v>3439.7</v>
      </c>
      <c r="V416" s="8">
        <v>24974.7</v>
      </c>
    </row>
    <row r="417" spans="1:22" x14ac:dyDescent="0.15">
      <c r="A417" s="9">
        <v>42401</v>
      </c>
      <c r="B417" s="8">
        <v>9556.9</v>
      </c>
      <c r="C417" s="8">
        <v>3979.6</v>
      </c>
      <c r="D417" s="8">
        <v>1598.7</v>
      </c>
      <c r="E417" s="8">
        <v>1155.8</v>
      </c>
      <c r="F417" s="8">
        <v>3257</v>
      </c>
      <c r="G417" s="8">
        <v>3186.9</v>
      </c>
      <c r="H417" s="8">
        <v>22734.9</v>
      </c>
      <c r="I417" s="8">
        <v>10050.5</v>
      </c>
      <c r="J417" s="8">
        <v>4399.8</v>
      </c>
      <c r="K417" s="8">
        <v>1956</v>
      </c>
      <c r="L417" s="8">
        <v>1591.6</v>
      </c>
      <c r="M417" s="8">
        <v>3551.5</v>
      </c>
      <c r="N417" s="8">
        <v>3441.1</v>
      </c>
      <c r="O417" s="8">
        <v>24990.400000000001</v>
      </c>
      <c r="P417" s="8">
        <v>10062.299999999999</v>
      </c>
      <c r="Q417" s="8">
        <v>4410.6000000000004</v>
      </c>
      <c r="R417" s="8">
        <v>1950.6</v>
      </c>
      <c r="S417" s="8">
        <v>1594.9</v>
      </c>
      <c r="T417" s="8">
        <v>3548.4</v>
      </c>
      <c r="U417" s="8">
        <v>3451.7</v>
      </c>
      <c r="V417" s="8">
        <v>25019.200000000001</v>
      </c>
    </row>
    <row r="418" spans="1:22" x14ac:dyDescent="0.15">
      <c r="A418" s="9">
        <v>42430</v>
      </c>
      <c r="B418" s="8">
        <v>10354</v>
      </c>
      <c r="C418" s="8">
        <v>4097.3999999999996</v>
      </c>
      <c r="D418" s="8">
        <v>1780.6</v>
      </c>
      <c r="E418" s="8">
        <v>1451.5</v>
      </c>
      <c r="F418" s="8">
        <v>3398.6</v>
      </c>
      <c r="G418" s="8">
        <v>3435.2</v>
      </c>
      <c r="H418" s="8">
        <v>24517.3</v>
      </c>
      <c r="I418" s="8">
        <v>10091.1</v>
      </c>
      <c r="J418" s="8">
        <v>4442.2</v>
      </c>
      <c r="K418" s="8">
        <v>1975.7</v>
      </c>
      <c r="L418" s="8">
        <v>1584.6</v>
      </c>
      <c r="M418" s="8">
        <v>3561.1</v>
      </c>
      <c r="N418" s="8">
        <v>3463.3</v>
      </c>
      <c r="O418" s="8">
        <v>25118.1</v>
      </c>
      <c r="P418" s="8">
        <v>10058.1</v>
      </c>
      <c r="Q418" s="8">
        <v>4402.5</v>
      </c>
      <c r="R418" s="8">
        <v>1964</v>
      </c>
      <c r="S418" s="8">
        <v>1589.6</v>
      </c>
      <c r="T418" s="8">
        <v>3569.5</v>
      </c>
      <c r="U418" s="8">
        <v>3462.9</v>
      </c>
      <c r="V418" s="8">
        <v>25044.400000000001</v>
      </c>
    </row>
    <row r="419" spans="1:22" x14ac:dyDescent="0.15">
      <c r="A419" s="9">
        <v>42461</v>
      </c>
      <c r="B419" s="8">
        <v>9727.9</v>
      </c>
      <c r="C419" s="8">
        <v>4064.9</v>
      </c>
      <c r="D419" s="8">
        <v>1924.6</v>
      </c>
      <c r="E419" s="8">
        <v>1451</v>
      </c>
      <c r="F419" s="8">
        <v>3355.8</v>
      </c>
      <c r="G419" s="8">
        <v>3451.7</v>
      </c>
      <c r="H419" s="8">
        <v>23975.9</v>
      </c>
      <c r="I419" s="8">
        <v>10030.9</v>
      </c>
      <c r="J419" s="8">
        <v>4417.7</v>
      </c>
      <c r="K419" s="8">
        <v>1979.6</v>
      </c>
      <c r="L419" s="8">
        <v>1580.8</v>
      </c>
      <c r="M419" s="8">
        <v>3587.4</v>
      </c>
      <c r="N419" s="8">
        <v>3495.1</v>
      </c>
      <c r="O419" s="8">
        <v>25091.4</v>
      </c>
      <c r="P419" s="8">
        <v>10064.799999999999</v>
      </c>
      <c r="Q419" s="8">
        <v>4384</v>
      </c>
      <c r="R419" s="8">
        <v>1970.9</v>
      </c>
      <c r="S419" s="8">
        <v>1581.2</v>
      </c>
      <c r="T419" s="8">
        <v>3587.8</v>
      </c>
      <c r="U419" s="8">
        <v>3478.3</v>
      </c>
      <c r="V419" s="8">
        <v>25062.9</v>
      </c>
    </row>
    <row r="420" spans="1:22" x14ac:dyDescent="0.15">
      <c r="A420" s="9">
        <v>42491</v>
      </c>
      <c r="B420" s="8">
        <v>9815.2000000000007</v>
      </c>
      <c r="C420" s="8">
        <v>4092.5</v>
      </c>
      <c r="D420" s="8">
        <v>1926.7</v>
      </c>
      <c r="E420" s="8">
        <v>1449.7</v>
      </c>
      <c r="F420" s="8">
        <v>3428.5</v>
      </c>
      <c r="G420" s="8">
        <v>3431</v>
      </c>
      <c r="H420" s="8">
        <v>24143.5</v>
      </c>
      <c r="I420" s="8">
        <v>10067.200000000001</v>
      </c>
      <c r="J420" s="8">
        <v>4334</v>
      </c>
      <c r="K420" s="8">
        <v>1937.8</v>
      </c>
      <c r="L420" s="8">
        <v>1567.4</v>
      </c>
      <c r="M420" s="8">
        <v>3603.6</v>
      </c>
      <c r="N420" s="8">
        <v>3489.1</v>
      </c>
      <c r="O420" s="8">
        <v>24999.1</v>
      </c>
      <c r="P420" s="8">
        <v>10073</v>
      </c>
      <c r="Q420" s="8">
        <v>4369.6000000000004</v>
      </c>
      <c r="R420" s="8">
        <v>1979.5</v>
      </c>
      <c r="S420" s="8">
        <v>1571.9</v>
      </c>
      <c r="T420" s="8">
        <v>3596.2</v>
      </c>
      <c r="U420" s="8">
        <v>3500.5</v>
      </c>
      <c r="V420" s="8">
        <v>25093.5</v>
      </c>
    </row>
    <row r="421" spans="1:22" x14ac:dyDescent="0.15">
      <c r="A421" s="9">
        <v>42522</v>
      </c>
      <c r="B421" s="8">
        <v>9516.5</v>
      </c>
      <c r="C421" s="8">
        <v>4357.3</v>
      </c>
      <c r="D421" s="8">
        <v>1967.1</v>
      </c>
      <c r="E421" s="8">
        <v>1596.1</v>
      </c>
      <c r="F421" s="8">
        <v>3414.4</v>
      </c>
      <c r="G421" s="8">
        <v>3313.9</v>
      </c>
      <c r="H421" s="8">
        <v>24165.3</v>
      </c>
      <c r="I421" s="8">
        <v>10108.4</v>
      </c>
      <c r="J421" s="8">
        <v>4355.7</v>
      </c>
      <c r="K421" s="8">
        <v>2003</v>
      </c>
      <c r="L421" s="8">
        <v>1582.1</v>
      </c>
      <c r="M421" s="8">
        <v>3610.3</v>
      </c>
      <c r="N421" s="8">
        <v>3506.5</v>
      </c>
      <c r="O421" s="8">
        <v>25166</v>
      </c>
      <c r="P421" s="8">
        <v>10098.4</v>
      </c>
      <c r="Q421" s="8">
        <v>4370.5</v>
      </c>
      <c r="R421" s="8">
        <v>1987</v>
      </c>
      <c r="S421" s="8">
        <v>1561.7</v>
      </c>
      <c r="T421" s="8">
        <v>3600.9</v>
      </c>
      <c r="U421" s="8">
        <v>3528.4</v>
      </c>
      <c r="V421" s="8">
        <v>25149</v>
      </c>
    </row>
    <row r="422" spans="1:22" x14ac:dyDescent="0.15">
      <c r="A422" s="9">
        <v>42552</v>
      </c>
      <c r="B422" s="8">
        <v>9928.5</v>
      </c>
      <c r="C422" s="8">
        <v>4225.1000000000004</v>
      </c>
      <c r="D422" s="8">
        <v>1876.1</v>
      </c>
      <c r="E422" s="8">
        <v>1468.3</v>
      </c>
      <c r="F422" s="8">
        <v>3492.7</v>
      </c>
      <c r="G422" s="8">
        <v>3573</v>
      </c>
      <c r="H422" s="8">
        <v>24563.7</v>
      </c>
      <c r="I422" s="8">
        <v>10105.200000000001</v>
      </c>
      <c r="J422" s="8">
        <v>4340.1000000000004</v>
      </c>
      <c r="K422" s="8">
        <v>2004.6</v>
      </c>
      <c r="L422" s="8">
        <v>1537.2</v>
      </c>
      <c r="M422" s="8">
        <v>3617.5</v>
      </c>
      <c r="N422" s="8">
        <v>3548.9</v>
      </c>
      <c r="O422" s="8">
        <v>25153.5</v>
      </c>
      <c r="P422" s="8">
        <v>10136.799999999999</v>
      </c>
      <c r="Q422" s="8">
        <v>4389.1000000000004</v>
      </c>
      <c r="R422" s="8">
        <v>1992</v>
      </c>
      <c r="S422" s="8">
        <v>1551.5</v>
      </c>
      <c r="T422" s="8">
        <v>3607.2</v>
      </c>
      <c r="U422" s="8">
        <v>3557.9</v>
      </c>
      <c r="V422" s="8">
        <v>25234.9</v>
      </c>
    </row>
    <row r="423" spans="1:22" x14ac:dyDescent="0.15">
      <c r="A423" s="9">
        <v>42583</v>
      </c>
      <c r="B423" s="8">
        <v>10041.9</v>
      </c>
      <c r="C423" s="8">
        <v>4239.3999999999996</v>
      </c>
      <c r="D423" s="8">
        <v>1806.3</v>
      </c>
      <c r="E423" s="8">
        <v>1293.9000000000001</v>
      </c>
      <c r="F423" s="8">
        <v>3562.3</v>
      </c>
      <c r="G423" s="8">
        <v>3647.5</v>
      </c>
      <c r="H423" s="8">
        <v>24591.3</v>
      </c>
      <c r="I423" s="8">
        <v>10202.5</v>
      </c>
      <c r="J423" s="8">
        <v>4396.8</v>
      </c>
      <c r="K423" s="8">
        <v>1998.2</v>
      </c>
      <c r="L423" s="8">
        <v>1541.6</v>
      </c>
      <c r="M423" s="8">
        <v>3581.2</v>
      </c>
      <c r="N423" s="8">
        <v>3609.8</v>
      </c>
      <c r="O423" s="8">
        <v>25330.1</v>
      </c>
      <c r="P423" s="8">
        <v>10183.9</v>
      </c>
      <c r="Q423" s="8">
        <v>4421.6000000000004</v>
      </c>
      <c r="R423" s="8">
        <v>1997.5</v>
      </c>
      <c r="S423" s="8">
        <v>1543.1</v>
      </c>
      <c r="T423" s="8">
        <v>3616.3</v>
      </c>
      <c r="U423" s="8">
        <v>3584.6</v>
      </c>
      <c r="V423" s="8">
        <v>25345.4</v>
      </c>
    </row>
    <row r="424" spans="1:22" x14ac:dyDescent="0.15">
      <c r="A424" s="9">
        <v>42614</v>
      </c>
      <c r="B424" s="8">
        <v>10005.700000000001</v>
      </c>
      <c r="C424" s="8">
        <v>4469</v>
      </c>
      <c r="D424" s="8">
        <v>1896.8</v>
      </c>
      <c r="E424" s="8">
        <v>1393.5</v>
      </c>
      <c r="F424" s="8">
        <v>3602.3</v>
      </c>
      <c r="G424" s="8">
        <v>3696.3</v>
      </c>
      <c r="H424" s="8">
        <v>25063.599999999999</v>
      </c>
      <c r="I424" s="8">
        <v>10243.200000000001</v>
      </c>
      <c r="J424" s="8">
        <v>4511.8</v>
      </c>
      <c r="K424" s="8">
        <v>2008.8</v>
      </c>
      <c r="L424" s="8">
        <v>1537.8</v>
      </c>
      <c r="M424" s="8">
        <v>3624</v>
      </c>
      <c r="N424" s="8">
        <v>3624.9</v>
      </c>
      <c r="O424" s="8">
        <v>25550.6</v>
      </c>
      <c r="P424" s="8">
        <v>10236.1</v>
      </c>
      <c r="Q424" s="8">
        <v>4460.8</v>
      </c>
      <c r="R424" s="8">
        <v>2002.6</v>
      </c>
      <c r="S424" s="8">
        <v>1537.6</v>
      </c>
      <c r="T424" s="8">
        <v>3621.2</v>
      </c>
      <c r="U424" s="8">
        <v>3606.3</v>
      </c>
      <c r="V424" s="8">
        <v>25464.2</v>
      </c>
    </row>
    <row r="425" spans="1:22" x14ac:dyDescent="0.15">
      <c r="A425" s="9">
        <v>42644</v>
      </c>
      <c r="B425" s="8">
        <v>10482.6</v>
      </c>
      <c r="C425" s="8">
        <v>4696.8</v>
      </c>
      <c r="D425" s="8">
        <v>1937.8</v>
      </c>
      <c r="E425" s="8">
        <v>1497.4</v>
      </c>
      <c r="F425" s="8">
        <v>3643.2</v>
      </c>
      <c r="G425" s="8">
        <v>3716.6</v>
      </c>
      <c r="H425" s="8">
        <v>25974.6</v>
      </c>
      <c r="I425" s="8">
        <v>10269.5</v>
      </c>
      <c r="J425" s="8">
        <v>4538.3</v>
      </c>
      <c r="K425" s="8">
        <v>1987.8</v>
      </c>
      <c r="L425" s="8">
        <v>1536.8</v>
      </c>
      <c r="M425" s="8">
        <v>3630.3</v>
      </c>
      <c r="N425" s="8">
        <v>3626.1</v>
      </c>
      <c r="O425" s="8">
        <v>25588.7</v>
      </c>
      <c r="P425" s="8">
        <v>10288.700000000001</v>
      </c>
      <c r="Q425" s="8">
        <v>4489.8999999999996</v>
      </c>
      <c r="R425" s="8">
        <v>2006.5</v>
      </c>
      <c r="S425" s="8">
        <v>1535</v>
      </c>
      <c r="T425" s="8">
        <v>3625.7</v>
      </c>
      <c r="U425" s="8">
        <v>3620.3</v>
      </c>
      <c r="V425" s="8">
        <v>25566.799999999999</v>
      </c>
    </row>
    <row r="426" spans="1:22" x14ac:dyDescent="0.15">
      <c r="A426" s="9">
        <v>42675</v>
      </c>
      <c r="B426" s="8">
        <v>10435.700000000001</v>
      </c>
      <c r="C426" s="8">
        <v>4874.3999999999996</v>
      </c>
      <c r="D426" s="8">
        <v>2057.1</v>
      </c>
      <c r="E426" s="8">
        <v>1684.3</v>
      </c>
      <c r="F426" s="8">
        <v>4051.1</v>
      </c>
      <c r="G426" s="8">
        <v>3678.5</v>
      </c>
      <c r="H426" s="8">
        <v>26781.1</v>
      </c>
      <c r="I426" s="8">
        <v>10343.299999999999</v>
      </c>
      <c r="J426" s="8">
        <v>4513.3</v>
      </c>
      <c r="K426" s="8">
        <v>1981.9</v>
      </c>
      <c r="L426" s="8">
        <v>1524.3</v>
      </c>
      <c r="M426" s="8">
        <v>3651.3</v>
      </c>
      <c r="N426" s="8">
        <v>3604.9</v>
      </c>
      <c r="O426" s="8">
        <v>25618.9</v>
      </c>
      <c r="P426" s="8">
        <v>10331.9</v>
      </c>
      <c r="Q426" s="8">
        <v>4498</v>
      </c>
      <c r="R426" s="8">
        <v>2008.4</v>
      </c>
      <c r="S426" s="8">
        <v>1536.2</v>
      </c>
      <c r="T426" s="8">
        <v>3632.1</v>
      </c>
      <c r="U426" s="8">
        <v>3627.4</v>
      </c>
      <c r="V426" s="8">
        <v>25636</v>
      </c>
    </row>
    <row r="427" spans="1:22" x14ac:dyDescent="0.15">
      <c r="A427" s="9">
        <v>42705</v>
      </c>
      <c r="B427" s="8">
        <v>12230.1</v>
      </c>
      <c r="C427" s="8">
        <v>5782.3</v>
      </c>
      <c r="D427" s="8">
        <v>3330.5</v>
      </c>
      <c r="E427" s="8">
        <v>2850.4</v>
      </c>
      <c r="F427" s="8">
        <v>4859.6000000000004</v>
      </c>
      <c r="G427" s="8">
        <v>4047.3</v>
      </c>
      <c r="H427" s="8">
        <v>33100.199999999997</v>
      </c>
      <c r="I427" s="8">
        <v>10392</v>
      </c>
      <c r="J427" s="8">
        <v>4445.3999999999996</v>
      </c>
      <c r="K427" s="8">
        <v>2049.8000000000002</v>
      </c>
      <c r="L427" s="8">
        <v>1550.1</v>
      </c>
      <c r="M427" s="8">
        <v>3657.2</v>
      </c>
      <c r="N427" s="8">
        <v>3625.4</v>
      </c>
      <c r="O427" s="8">
        <v>25719.9</v>
      </c>
      <c r="P427" s="8">
        <v>10368.5</v>
      </c>
      <c r="Q427" s="8">
        <v>4488.8999999999996</v>
      </c>
      <c r="R427" s="8">
        <v>2008</v>
      </c>
      <c r="S427" s="8">
        <v>1541.2</v>
      </c>
      <c r="T427" s="8">
        <v>3642</v>
      </c>
      <c r="U427" s="8">
        <v>3629.4</v>
      </c>
      <c r="V427" s="8">
        <v>25674.799999999999</v>
      </c>
    </row>
    <row r="428" spans="1:22" x14ac:dyDescent="0.15">
      <c r="A428" s="9">
        <v>42736</v>
      </c>
      <c r="B428" s="8">
        <v>10431.5</v>
      </c>
      <c r="C428" s="8">
        <v>4463.5</v>
      </c>
      <c r="D428" s="8">
        <v>1939.7</v>
      </c>
      <c r="E428" s="8">
        <v>1428.5</v>
      </c>
      <c r="F428" s="8">
        <v>3421.5</v>
      </c>
      <c r="G428" s="8">
        <v>3621.4</v>
      </c>
      <c r="H428" s="8">
        <v>25306.2</v>
      </c>
      <c r="I428" s="8">
        <v>10383.9</v>
      </c>
      <c r="J428" s="8">
        <v>4500.7</v>
      </c>
      <c r="K428" s="8">
        <v>2031.7</v>
      </c>
      <c r="L428" s="8">
        <v>1554.7</v>
      </c>
      <c r="M428" s="8">
        <v>3616</v>
      </c>
      <c r="N428" s="8">
        <v>3641.6</v>
      </c>
      <c r="O428" s="8">
        <v>25728.6</v>
      </c>
      <c r="P428" s="8">
        <v>10389.6</v>
      </c>
      <c r="Q428" s="8">
        <v>4474.5</v>
      </c>
      <c r="R428" s="8">
        <v>2005.3</v>
      </c>
      <c r="S428" s="8">
        <v>1548.5</v>
      </c>
      <c r="T428" s="8">
        <v>3649</v>
      </c>
      <c r="U428" s="8">
        <v>3632.2</v>
      </c>
      <c r="V428" s="8">
        <v>25700.3</v>
      </c>
    </row>
    <row r="429" spans="1:22" x14ac:dyDescent="0.15">
      <c r="A429" s="9">
        <v>42767</v>
      </c>
      <c r="B429" s="8">
        <v>9574.6</v>
      </c>
      <c r="C429" s="8">
        <v>3897.6</v>
      </c>
      <c r="D429" s="8">
        <v>1558.9</v>
      </c>
      <c r="E429" s="8">
        <v>1092.4000000000001</v>
      </c>
      <c r="F429" s="8">
        <v>3230.8</v>
      </c>
      <c r="G429" s="8">
        <v>3260.6</v>
      </c>
      <c r="H429" s="8">
        <v>22615</v>
      </c>
      <c r="I429" s="8">
        <v>10421.299999999999</v>
      </c>
      <c r="J429" s="8">
        <v>4450.5</v>
      </c>
      <c r="K429" s="8">
        <v>1972</v>
      </c>
      <c r="L429" s="8">
        <v>1542.9</v>
      </c>
      <c r="M429" s="8">
        <v>3641.5</v>
      </c>
      <c r="N429" s="8">
        <v>3646.7</v>
      </c>
      <c r="O429" s="8">
        <v>25675</v>
      </c>
      <c r="P429" s="8">
        <v>10407</v>
      </c>
      <c r="Q429" s="8">
        <v>4469.7</v>
      </c>
      <c r="R429" s="8">
        <v>2001.8</v>
      </c>
      <c r="S429" s="8">
        <v>1555.9</v>
      </c>
      <c r="T429" s="8">
        <v>3659.6</v>
      </c>
      <c r="U429" s="8">
        <v>3638.2</v>
      </c>
      <c r="V429" s="8">
        <v>25733.5</v>
      </c>
    </row>
    <row r="430" spans="1:22" x14ac:dyDescent="0.15">
      <c r="A430" s="9">
        <v>42795</v>
      </c>
      <c r="B430" s="8">
        <v>10510.3</v>
      </c>
      <c r="C430" s="8">
        <v>4196.8999999999996</v>
      </c>
      <c r="D430" s="8">
        <v>1826.7</v>
      </c>
      <c r="E430" s="8">
        <v>1370.3</v>
      </c>
      <c r="F430" s="8">
        <v>3590.4</v>
      </c>
      <c r="G430" s="8">
        <v>3619</v>
      </c>
      <c r="H430" s="8">
        <v>25113.5</v>
      </c>
      <c r="I430" s="8">
        <v>10388.299999999999</v>
      </c>
      <c r="J430" s="8">
        <v>4441</v>
      </c>
      <c r="K430" s="8">
        <v>1981.1</v>
      </c>
      <c r="L430" s="8">
        <v>1545.1</v>
      </c>
      <c r="M430" s="8">
        <v>3695.4</v>
      </c>
      <c r="N430" s="8">
        <v>3628.1</v>
      </c>
      <c r="O430" s="8">
        <v>25679</v>
      </c>
      <c r="P430" s="8">
        <v>10419.5</v>
      </c>
      <c r="Q430" s="8">
        <v>4480.3</v>
      </c>
      <c r="R430" s="8">
        <v>2001.9</v>
      </c>
      <c r="S430" s="8">
        <v>1560.9</v>
      </c>
      <c r="T430" s="8">
        <v>3676</v>
      </c>
      <c r="U430" s="8">
        <v>3650.2</v>
      </c>
      <c r="V430" s="8">
        <v>25786.7</v>
      </c>
    </row>
    <row r="431" spans="1:22" x14ac:dyDescent="0.15">
      <c r="A431" s="9">
        <v>42826</v>
      </c>
      <c r="B431" s="8">
        <v>10274.1</v>
      </c>
      <c r="C431" s="8">
        <v>3994.9</v>
      </c>
      <c r="D431" s="8">
        <v>1885.8</v>
      </c>
      <c r="E431" s="8">
        <v>1522.6</v>
      </c>
      <c r="F431" s="8">
        <v>3338.8</v>
      </c>
      <c r="G431" s="8">
        <v>3567</v>
      </c>
      <c r="H431" s="8">
        <v>24583.1</v>
      </c>
      <c r="I431" s="8">
        <v>10432.6</v>
      </c>
      <c r="J431" s="8">
        <v>4477.6000000000004</v>
      </c>
      <c r="K431" s="8">
        <v>2009.8</v>
      </c>
      <c r="L431" s="8">
        <v>1604.2</v>
      </c>
      <c r="M431" s="8">
        <v>3698</v>
      </c>
      <c r="N431" s="8">
        <v>3656.8</v>
      </c>
      <c r="O431" s="8">
        <v>25879.1</v>
      </c>
      <c r="P431" s="8">
        <v>10425</v>
      </c>
      <c r="Q431" s="8">
        <v>4500.5</v>
      </c>
      <c r="R431" s="8">
        <v>2006.8</v>
      </c>
      <c r="S431" s="8">
        <v>1561.1</v>
      </c>
      <c r="T431" s="8">
        <v>3696.1</v>
      </c>
      <c r="U431" s="8">
        <v>3661.7</v>
      </c>
      <c r="V431" s="8">
        <v>25851.4</v>
      </c>
    </row>
    <row r="432" spans="1:22" x14ac:dyDescent="0.15">
      <c r="A432" s="9">
        <v>42856</v>
      </c>
      <c r="B432" s="8">
        <v>10189.700000000001</v>
      </c>
      <c r="C432" s="8">
        <v>4291</v>
      </c>
      <c r="D432" s="8">
        <v>2024.2</v>
      </c>
      <c r="E432" s="8">
        <v>1452.4</v>
      </c>
      <c r="F432" s="8">
        <v>3577.3</v>
      </c>
      <c r="G432" s="8">
        <v>3598.6</v>
      </c>
      <c r="H432" s="8">
        <v>25133.200000000001</v>
      </c>
      <c r="I432" s="8">
        <v>10440.700000000001</v>
      </c>
      <c r="J432" s="8">
        <v>4543.8999999999996</v>
      </c>
      <c r="K432" s="8">
        <v>2018.1</v>
      </c>
      <c r="L432" s="8">
        <v>1550.6</v>
      </c>
      <c r="M432" s="8">
        <v>3713.7</v>
      </c>
      <c r="N432" s="8">
        <v>3676.9</v>
      </c>
      <c r="O432" s="8">
        <v>25944.1</v>
      </c>
      <c r="P432" s="8">
        <v>10436.6</v>
      </c>
      <c r="Q432" s="8">
        <v>4521.5</v>
      </c>
      <c r="R432" s="8">
        <v>2009.4</v>
      </c>
      <c r="S432" s="8">
        <v>1557.4</v>
      </c>
      <c r="T432" s="8">
        <v>3718.6</v>
      </c>
      <c r="U432" s="8">
        <v>3670.5</v>
      </c>
      <c r="V432" s="8">
        <v>25911.4</v>
      </c>
    </row>
    <row r="433" spans="1:22" x14ac:dyDescent="0.15">
      <c r="A433" s="9">
        <v>42887</v>
      </c>
      <c r="B433" s="8">
        <v>9857.6</v>
      </c>
      <c r="C433" s="8">
        <v>4659.3999999999996</v>
      </c>
      <c r="D433" s="8">
        <v>1988.3</v>
      </c>
      <c r="E433" s="8">
        <v>1557.2</v>
      </c>
      <c r="F433" s="8">
        <v>3560.8</v>
      </c>
      <c r="G433" s="8">
        <v>3544.2</v>
      </c>
      <c r="H433" s="8">
        <v>25167.5</v>
      </c>
      <c r="I433" s="8">
        <v>10453.299999999999</v>
      </c>
      <c r="J433" s="8">
        <v>4592.8999999999996</v>
      </c>
      <c r="K433" s="8">
        <v>2009.2</v>
      </c>
      <c r="L433" s="8">
        <v>1548.7</v>
      </c>
      <c r="M433" s="8">
        <v>3719.9</v>
      </c>
      <c r="N433" s="8">
        <v>3696.3</v>
      </c>
      <c r="O433" s="8">
        <v>26020.3</v>
      </c>
      <c r="P433" s="8">
        <v>10447.1</v>
      </c>
      <c r="Q433" s="8">
        <v>4526.8</v>
      </c>
      <c r="R433" s="8">
        <v>2015.8</v>
      </c>
      <c r="S433" s="8">
        <v>1551.9</v>
      </c>
      <c r="T433" s="8">
        <v>3727.7</v>
      </c>
      <c r="U433" s="8">
        <v>3676.1</v>
      </c>
      <c r="V433" s="8">
        <v>25948.3</v>
      </c>
    </row>
    <row r="434" spans="1:22" x14ac:dyDescent="0.15">
      <c r="A434" s="9">
        <v>42917</v>
      </c>
      <c r="B434" s="8">
        <v>10272.799999999999</v>
      </c>
      <c r="C434" s="8">
        <v>4365.1000000000004</v>
      </c>
      <c r="D434" s="8">
        <v>1896.4</v>
      </c>
      <c r="E434" s="8">
        <v>1445.5</v>
      </c>
      <c r="F434" s="8">
        <v>3600.7</v>
      </c>
      <c r="G434" s="8">
        <v>3698.1</v>
      </c>
      <c r="H434" s="8">
        <v>25278.6</v>
      </c>
      <c r="I434" s="8">
        <v>10478</v>
      </c>
      <c r="J434" s="8">
        <v>4531.8</v>
      </c>
      <c r="K434" s="8">
        <v>2047.1</v>
      </c>
      <c r="L434" s="8">
        <v>1541.7</v>
      </c>
      <c r="M434" s="8">
        <v>3751.9</v>
      </c>
      <c r="N434" s="8">
        <v>3703.9</v>
      </c>
      <c r="O434" s="8">
        <v>26054.400000000001</v>
      </c>
      <c r="P434" s="8">
        <v>10460.799999999999</v>
      </c>
      <c r="Q434" s="8">
        <v>4519.2</v>
      </c>
      <c r="R434" s="8">
        <v>2021.3</v>
      </c>
      <c r="S434" s="8">
        <v>1547.2</v>
      </c>
      <c r="T434" s="8">
        <v>3727.8</v>
      </c>
      <c r="U434" s="8">
        <v>3682.5</v>
      </c>
      <c r="V434" s="8">
        <v>25962.6</v>
      </c>
    </row>
    <row r="435" spans="1:22" x14ac:dyDescent="0.15">
      <c r="A435" s="9">
        <v>42948</v>
      </c>
      <c r="B435" s="8">
        <v>10363.700000000001</v>
      </c>
      <c r="C435" s="8">
        <v>4347.3</v>
      </c>
      <c r="D435" s="8">
        <v>1839.3</v>
      </c>
      <c r="E435" s="8">
        <v>1303.0999999999999</v>
      </c>
      <c r="F435" s="8">
        <v>3710.9</v>
      </c>
      <c r="G435" s="8">
        <v>3711.2</v>
      </c>
      <c r="H435" s="8">
        <v>25275.4</v>
      </c>
      <c r="I435" s="8">
        <v>10447.9</v>
      </c>
      <c r="J435" s="8">
        <v>4491.7</v>
      </c>
      <c r="K435" s="8">
        <v>2020.7</v>
      </c>
      <c r="L435" s="8">
        <v>1519.8</v>
      </c>
      <c r="M435" s="8">
        <v>3747.9</v>
      </c>
      <c r="N435" s="8">
        <v>3655.9</v>
      </c>
      <c r="O435" s="8">
        <v>25883.9</v>
      </c>
      <c r="P435" s="8">
        <v>10488.2</v>
      </c>
      <c r="Q435" s="8">
        <v>4501.3</v>
      </c>
      <c r="R435" s="8">
        <v>2023</v>
      </c>
      <c r="S435" s="8">
        <v>1544.4</v>
      </c>
      <c r="T435" s="8">
        <v>3722.9</v>
      </c>
      <c r="U435" s="8">
        <v>3691.9</v>
      </c>
      <c r="V435" s="8">
        <v>25968.7</v>
      </c>
    </row>
    <row r="436" spans="1:22" x14ac:dyDescent="0.15">
      <c r="A436" s="9">
        <v>42979</v>
      </c>
      <c r="B436" s="8">
        <v>10307.9</v>
      </c>
      <c r="C436" s="8">
        <v>4384.6000000000004</v>
      </c>
      <c r="D436" s="8">
        <v>1891.6</v>
      </c>
      <c r="E436" s="8">
        <v>1407.2</v>
      </c>
      <c r="F436" s="8">
        <v>3627.8</v>
      </c>
      <c r="G436" s="8">
        <v>3729.7</v>
      </c>
      <c r="H436" s="8">
        <v>25348.7</v>
      </c>
      <c r="I436" s="8">
        <v>10524.2</v>
      </c>
      <c r="J436" s="8">
        <v>4456.8999999999996</v>
      </c>
      <c r="K436" s="8">
        <v>2012.8</v>
      </c>
      <c r="L436" s="8">
        <v>1557.1</v>
      </c>
      <c r="M436" s="8">
        <v>3709.7</v>
      </c>
      <c r="N436" s="8">
        <v>3680</v>
      </c>
      <c r="O436" s="8">
        <v>25940.7</v>
      </c>
      <c r="P436" s="8">
        <v>10522.2</v>
      </c>
      <c r="Q436" s="8">
        <v>4484.6000000000004</v>
      </c>
      <c r="R436" s="8">
        <v>2022.6</v>
      </c>
      <c r="S436" s="8">
        <v>1544.5</v>
      </c>
      <c r="T436" s="8">
        <v>3717.6</v>
      </c>
      <c r="U436" s="8">
        <v>3704.3</v>
      </c>
      <c r="V436" s="8">
        <v>25992</v>
      </c>
    </row>
    <row r="437" spans="1:22" x14ac:dyDescent="0.15">
      <c r="A437" s="9">
        <v>43009</v>
      </c>
      <c r="B437" s="8">
        <v>10710.9</v>
      </c>
      <c r="C437" s="8">
        <v>4639</v>
      </c>
      <c r="D437" s="8">
        <v>1948.2</v>
      </c>
      <c r="E437" s="8">
        <v>1518.3</v>
      </c>
      <c r="F437" s="8">
        <v>3709.6</v>
      </c>
      <c r="G437" s="8">
        <v>3871.1</v>
      </c>
      <c r="H437" s="8">
        <v>26397.1</v>
      </c>
      <c r="I437" s="8">
        <v>10560.7</v>
      </c>
      <c r="J437" s="8">
        <v>4449.8</v>
      </c>
      <c r="K437" s="8">
        <v>2011.9</v>
      </c>
      <c r="L437" s="8">
        <v>1566.8</v>
      </c>
      <c r="M437" s="8">
        <v>3677</v>
      </c>
      <c r="N437" s="8">
        <v>3729.2</v>
      </c>
      <c r="O437" s="8">
        <v>25995.3</v>
      </c>
      <c r="P437" s="8">
        <v>10566.2</v>
      </c>
      <c r="Q437" s="8">
        <v>4483.1000000000004</v>
      </c>
      <c r="R437" s="8">
        <v>2024.8</v>
      </c>
      <c r="S437" s="8">
        <v>1547</v>
      </c>
      <c r="T437" s="8">
        <v>3718</v>
      </c>
      <c r="U437" s="8">
        <v>3719.5</v>
      </c>
      <c r="V437" s="8">
        <v>26050.3</v>
      </c>
    </row>
    <row r="438" spans="1:22" x14ac:dyDescent="0.15">
      <c r="A438" s="9">
        <v>43040</v>
      </c>
      <c r="B438" s="8">
        <v>10780.7</v>
      </c>
      <c r="C438" s="8">
        <v>5025</v>
      </c>
      <c r="D438" s="8">
        <v>2139.4</v>
      </c>
      <c r="E438" s="8">
        <v>1730.4</v>
      </c>
      <c r="F438" s="8">
        <v>4203.7</v>
      </c>
      <c r="G438" s="8">
        <v>3828.1</v>
      </c>
      <c r="H438" s="8">
        <v>27707.3</v>
      </c>
      <c r="I438" s="8">
        <v>10588.2</v>
      </c>
      <c r="J438" s="8">
        <v>4599</v>
      </c>
      <c r="K438" s="8">
        <v>2024.5</v>
      </c>
      <c r="L438" s="8">
        <v>1536.8</v>
      </c>
      <c r="M438" s="8">
        <v>3774.7</v>
      </c>
      <c r="N438" s="8">
        <v>3752.4</v>
      </c>
      <c r="O438" s="8">
        <v>26275.599999999999</v>
      </c>
      <c r="P438" s="8">
        <v>10610.3</v>
      </c>
      <c r="Q438" s="8">
        <v>4497.8999999999996</v>
      </c>
      <c r="R438" s="8">
        <v>2031.5</v>
      </c>
      <c r="S438" s="8">
        <v>1548.7</v>
      </c>
      <c r="T438" s="8">
        <v>3719.7</v>
      </c>
      <c r="U438" s="8">
        <v>3737.1</v>
      </c>
      <c r="V438" s="8">
        <v>26141.9</v>
      </c>
    </row>
    <row r="439" spans="1:22" x14ac:dyDescent="0.15">
      <c r="A439" s="9">
        <v>43070</v>
      </c>
      <c r="B439" s="8">
        <v>12552.1</v>
      </c>
      <c r="C439" s="8">
        <v>5901.4</v>
      </c>
      <c r="D439" s="8">
        <v>3297.7</v>
      </c>
      <c r="E439" s="8">
        <v>2822.6</v>
      </c>
      <c r="F439" s="8">
        <v>4890.3</v>
      </c>
      <c r="G439" s="8">
        <v>4174.8999999999996</v>
      </c>
      <c r="H439" s="8">
        <v>33639</v>
      </c>
      <c r="I439" s="8">
        <v>10729.5</v>
      </c>
      <c r="J439" s="8">
        <v>4586.8</v>
      </c>
      <c r="K439" s="8">
        <v>2054.6</v>
      </c>
      <c r="L439" s="8">
        <v>1553.1</v>
      </c>
      <c r="M439" s="8">
        <v>3742.8</v>
      </c>
      <c r="N439" s="8">
        <v>3761</v>
      </c>
      <c r="O439" s="8">
        <v>26427.7</v>
      </c>
      <c r="P439" s="8">
        <v>10656</v>
      </c>
      <c r="Q439" s="8">
        <v>4530.6000000000004</v>
      </c>
      <c r="R439" s="8">
        <v>2035.2</v>
      </c>
      <c r="S439" s="8">
        <v>1547.9</v>
      </c>
      <c r="T439" s="8">
        <v>3729.1</v>
      </c>
      <c r="U439" s="8">
        <v>3752.2</v>
      </c>
      <c r="V439" s="8">
        <v>26247.3</v>
      </c>
    </row>
    <row r="440" spans="1:22" x14ac:dyDescent="0.15">
      <c r="A440" s="9">
        <v>43101</v>
      </c>
      <c r="B440" s="8">
        <v>10713.3</v>
      </c>
      <c r="C440" s="8">
        <v>4516.1000000000004</v>
      </c>
      <c r="D440" s="8">
        <v>1967.4</v>
      </c>
      <c r="E440" s="8">
        <v>1413.1</v>
      </c>
      <c r="F440" s="8">
        <v>3587.3</v>
      </c>
      <c r="G440" s="8">
        <v>3698.8</v>
      </c>
      <c r="H440" s="8">
        <v>25896</v>
      </c>
      <c r="I440" s="8">
        <v>10682.8</v>
      </c>
      <c r="J440" s="8">
        <v>4582.2</v>
      </c>
      <c r="K440" s="8">
        <v>2047.6</v>
      </c>
      <c r="L440" s="8">
        <v>1544.7</v>
      </c>
      <c r="M440" s="8">
        <v>3757.6</v>
      </c>
      <c r="N440" s="8">
        <v>3754</v>
      </c>
      <c r="O440" s="8">
        <v>26369</v>
      </c>
      <c r="P440" s="8">
        <v>10698.7</v>
      </c>
      <c r="Q440" s="8">
        <v>4561</v>
      </c>
      <c r="R440" s="8">
        <v>2047.2</v>
      </c>
      <c r="S440" s="8">
        <v>1547.7</v>
      </c>
      <c r="T440" s="8">
        <v>3741.1</v>
      </c>
      <c r="U440" s="8">
        <v>3759</v>
      </c>
      <c r="V440" s="8">
        <v>26348.2</v>
      </c>
    </row>
    <row r="441" spans="1:22" x14ac:dyDescent="0.15">
      <c r="A441" s="9">
        <v>43132</v>
      </c>
      <c r="B441" s="8">
        <v>9833.2000000000007</v>
      </c>
      <c r="C441" s="8">
        <v>4023.6</v>
      </c>
      <c r="D441" s="8">
        <v>1632.2</v>
      </c>
      <c r="E441" s="8">
        <v>1099.4000000000001</v>
      </c>
      <c r="F441" s="8">
        <v>3334.5</v>
      </c>
      <c r="G441" s="8">
        <v>3377.8</v>
      </c>
      <c r="H441" s="8">
        <v>23300.7</v>
      </c>
      <c r="I441" s="8">
        <v>10699</v>
      </c>
      <c r="J441" s="8">
        <v>4585.8999999999996</v>
      </c>
      <c r="K441" s="8">
        <v>2070.1999999999998</v>
      </c>
      <c r="L441" s="8">
        <v>1547.5</v>
      </c>
      <c r="M441" s="8">
        <v>3767.2</v>
      </c>
      <c r="N441" s="8">
        <v>3778.5</v>
      </c>
      <c r="O441" s="8">
        <v>26448.2</v>
      </c>
      <c r="P441" s="8">
        <v>10732.8</v>
      </c>
      <c r="Q441" s="8">
        <v>4583.1000000000004</v>
      </c>
      <c r="R441" s="8">
        <v>2056.4</v>
      </c>
      <c r="S441" s="8">
        <v>1549.5</v>
      </c>
      <c r="T441" s="8">
        <v>3749.9</v>
      </c>
      <c r="U441" s="8">
        <v>3758.4</v>
      </c>
      <c r="V441" s="8">
        <v>26428.799999999999</v>
      </c>
    </row>
    <row r="442" spans="1:22" x14ac:dyDescent="0.15">
      <c r="A442" s="9">
        <v>43160</v>
      </c>
      <c r="B442" s="8">
        <v>11188.4</v>
      </c>
      <c r="C442" s="8">
        <v>4327.6000000000004</v>
      </c>
      <c r="D442" s="8">
        <v>1884.8</v>
      </c>
      <c r="E442" s="8">
        <v>1416.2</v>
      </c>
      <c r="F442" s="8">
        <v>3651.9</v>
      </c>
      <c r="G442" s="8">
        <v>3749.1</v>
      </c>
      <c r="H442" s="8">
        <v>26218</v>
      </c>
      <c r="I442" s="8">
        <v>10774.4</v>
      </c>
      <c r="J442" s="8">
        <v>4570.1000000000004</v>
      </c>
      <c r="K442" s="8">
        <v>2041.5</v>
      </c>
      <c r="L442" s="8">
        <v>1548.6</v>
      </c>
      <c r="M442" s="8">
        <v>3759.7</v>
      </c>
      <c r="N442" s="8">
        <v>3736</v>
      </c>
      <c r="O442" s="8">
        <v>26430.3</v>
      </c>
      <c r="P442" s="8">
        <v>10763.5</v>
      </c>
      <c r="Q442" s="8">
        <v>4594.5</v>
      </c>
      <c r="R442" s="8">
        <v>2064.9</v>
      </c>
      <c r="S442" s="8">
        <v>1553.4</v>
      </c>
      <c r="T442" s="8">
        <v>3755.3</v>
      </c>
      <c r="U442" s="8">
        <v>3754.3</v>
      </c>
      <c r="V442" s="8">
        <v>26490.5</v>
      </c>
    </row>
    <row r="443" spans="1:22" x14ac:dyDescent="0.15">
      <c r="A443" s="9">
        <v>43191</v>
      </c>
      <c r="B443" s="8">
        <v>10354.1</v>
      </c>
      <c r="C443" s="8">
        <v>4131.3</v>
      </c>
      <c r="D443" s="8">
        <v>1913.2</v>
      </c>
      <c r="E443" s="8">
        <v>1402.7</v>
      </c>
      <c r="F443" s="8">
        <v>3402.6</v>
      </c>
      <c r="G443" s="8">
        <v>3679.3</v>
      </c>
      <c r="H443" s="8">
        <v>24883.3</v>
      </c>
      <c r="I443" s="8">
        <v>10800.6</v>
      </c>
      <c r="J443" s="8">
        <v>4608.2</v>
      </c>
      <c r="K443" s="8">
        <v>2050.6999999999998</v>
      </c>
      <c r="L443" s="8">
        <v>1542.1</v>
      </c>
      <c r="M443" s="8">
        <v>3750.4</v>
      </c>
      <c r="N443" s="8">
        <v>3773.5</v>
      </c>
      <c r="O443" s="8">
        <v>26525.5</v>
      </c>
      <c r="P443" s="8">
        <v>10797.6</v>
      </c>
      <c r="Q443" s="8">
        <v>4594.8999999999996</v>
      </c>
      <c r="R443" s="8">
        <v>2071.5</v>
      </c>
      <c r="S443" s="8">
        <v>1558.2</v>
      </c>
      <c r="T443" s="8">
        <v>3770.4</v>
      </c>
      <c r="U443" s="8">
        <v>3755.3</v>
      </c>
      <c r="V443" s="8">
        <v>26546.1</v>
      </c>
    </row>
    <row r="444" spans="1:22" x14ac:dyDescent="0.15">
      <c r="A444" s="9">
        <v>43221</v>
      </c>
      <c r="B444" s="8">
        <v>10645.2</v>
      </c>
      <c r="C444" s="8">
        <v>4370.8</v>
      </c>
      <c r="D444" s="8">
        <v>2123.9</v>
      </c>
      <c r="E444" s="8">
        <v>1518</v>
      </c>
      <c r="F444" s="8">
        <v>3629.7</v>
      </c>
      <c r="G444" s="8">
        <v>3666.6</v>
      </c>
      <c r="H444" s="8">
        <v>25954.1</v>
      </c>
      <c r="I444" s="8">
        <v>10838</v>
      </c>
      <c r="J444" s="8">
        <v>4593.3</v>
      </c>
      <c r="K444" s="8">
        <v>2106.6999999999998</v>
      </c>
      <c r="L444" s="8">
        <v>1588.6</v>
      </c>
      <c r="M444" s="8">
        <v>3762.4</v>
      </c>
      <c r="N444" s="8">
        <v>3723.5</v>
      </c>
      <c r="O444" s="8">
        <v>26612.400000000001</v>
      </c>
      <c r="P444" s="8">
        <v>10825.7</v>
      </c>
      <c r="Q444" s="8">
        <v>4591.2</v>
      </c>
      <c r="R444" s="8">
        <v>2080.6</v>
      </c>
      <c r="S444" s="8">
        <v>1562</v>
      </c>
      <c r="T444" s="8">
        <v>3782.5</v>
      </c>
      <c r="U444" s="8">
        <v>3767.2</v>
      </c>
      <c r="V444" s="8">
        <v>26611.5</v>
      </c>
    </row>
    <row r="445" spans="1:22" x14ac:dyDescent="0.15">
      <c r="A445" s="9">
        <v>43252</v>
      </c>
      <c r="B445" s="8">
        <v>10268.200000000001</v>
      </c>
      <c r="C445" s="8">
        <v>4659.6000000000004</v>
      </c>
      <c r="D445" s="8">
        <v>2099.3000000000002</v>
      </c>
      <c r="E445" s="8">
        <v>1587.2</v>
      </c>
      <c r="F445" s="8">
        <v>3611.7</v>
      </c>
      <c r="G445" s="8">
        <v>3601.3</v>
      </c>
      <c r="H445" s="8">
        <v>25827.200000000001</v>
      </c>
      <c r="I445" s="8">
        <v>10854.9</v>
      </c>
      <c r="J445" s="8">
        <v>4606.2</v>
      </c>
      <c r="K445" s="8">
        <v>2111.6999999999998</v>
      </c>
      <c r="L445" s="8">
        <v>1577.2</v>
      </c>
      <c r="M445" s="8">
        <v>3790.8</v>
      </c>
      <c r="N445" s="8">
        <v>3777.1</v>
      </c>
      <c r="O445" s="8">
        <v>26718</v>
      </c>
      <c r="P445" s="8">
        <v>10855.4</v>
      </c>
      <c r="Q445" s="8">
        <v>4589.3999999999996</v>
      </c>
      <c r="R445" s="8">
        <v>2093</v>
      </c>
      <c r="S445" s="8">
        <v>1563</v>
      </c>
      <c r="T445" s="8">
        <v>3809</v>
      </c>
      <c r="U445" s="8">
        <v>3782.2</v>
      </c>
      <c r="V445" s="8">
        <v>26686.9</v>
      </c>
    </row>
    <row r="446" spans="1:22" x14ac:dyDescent="0.15">
      <c r="A446" s="9">
        <v>43282</v>
      </c>
      <c r="B446" s="8">
        <v>10604.4</v>
      </c>
      <c r="C446" s="8">
        <v>4420.3999999999996</v>
      </c>
      <c r="D446" s="8">
        <v>1918.7</v>
      </c>
      <c r="E446" s="8">
        <v>1426.7</v>
      </c>
      <c r="F446" s="8">
        <v>3721.4</v>
      </c>
      <c r="G446" s="8">
        <v>3844</v>
      </c>
      <c r="H446" s="8">
        <v>25935.599999999999</v>
      </c>
      <c r="I446" s="8">
        <v>10874.3</v>
      </c>
      <c r="J446" s="8">
        <v>4559.2</v>
      </c>
      <c r="K446" s="8">
        <v>2084.6999999999998</v>
      </c>
      <c r="L446" s="8">
        <v>1540.7</v>
      </c>
      <c r="M446" s="8">
        <v>3850.6</v>
      </c>
      <c r="N446" s="8">
        <v>3807.1</v>
      </c>
      <c r="O446" s="8">
        <v>26716.6</v>
      </c>
      <c r="P446" s="8">
        <v>10881.8</v>
      </c>
      <c r="Q446" s="8">
        <v>4590.1000000000004</v>
      </c>
      <c r="R446" s="8">
        <v>2099.1</v>
      </c>
      <c r="S446" s="8">
        <v>1562.1</v>
      </c>
      <c r="T446" s="8">
        <v>3831.3</v>
      </c>
      <c r="U446" s="8">
        <v>3799.3</v>
      </c>
      <c r="V446" s="8">
        <v>26766.799999999999</v>
      </c>
    </row>
    <row r="447" spans="1:22" x14ac:dyDescent="0.15">
      <c r="A447" s="9">
        <v>43313</v>
      </c>
      <c r="B447" s="8">
        <v>10852.2</v>
      </c>
      <c r="C447" s="8">
        <v>4434.8</v>
      </c>
      <c r="D447" s="8">
        <v>1919.5</v>
      </c>
      <c r="E447" s="8">
        <v>1343.6</v>
      </c>
      <c r="F447" s="8">
        <v>3882.2</v>
      </c>
      <c r="G447" s="8">
        <v>3908.3</v>
      </c>
      <c r="H447" s="8">
        <v>26340.6</v>
      </c>
      <c r="I447" s="8">
        <v>10915</v>
      </c>
      <c r="J447" s="8">
        <v>4582</v>
      </c>
      <c r="K447" s="8">
        <v>2099.9</v>
      </c>
      <c r="L447" s="8">
        <v>1554.6</v>
      </c>
      <c r="M447" s="8">
        <v>3891.3</v>
      </c>
      <c r="N447" s="8">
        <v>3850.4</v>
      </c>
      <c r="O447" s="8">
        <v>26893.200000000001</v>
      </c>
      <c r="P447" s="8">
        <v>10912</v>
      </c>
      <c r="Q447" s="8">
        <v>4592.8999999999996</v>
      </c>
      <c r="R447" s="8">
        <v>2101.6</v>
      </c>
      <c r="S447" s="8">
        <v>1559.3</v>
      </c>
      <c r="T447" s="8">
        <v>3860.9</v>
      </c>
      <c r="U447" s="8">
        <v>3814.4</v>
      </c>
      <c r="V447" s="8">
        <v>26840.799999999999</v>
      </c>
    </row>
    <row r="448" spans="1:22" x14ac:dyDescent="0.15">
      <c r="A448" s="9">
        <v>43344</v>
      </c>
      <c r="B448" s="8">
        <v>10713.8</v>
      </c>
      <c r="C448" s="8">
        <v>4467.8</v>
      </c>
      <c r="D448" s="8">
        <v>1915.4</v>
      </c>
      <c r="E448" s="8">
        <v>1398.8</v>
      </c>
      <c r="F448" s="8">
        <v>3704.7</v>
      </c>
      <c r="G448" s="8">
        <v>3863.4</v>
      </c>
      <c r="H448" s="8">
        <v>26063.9</v>
      </c>
      <c r="I448" s="8">
        <v>10955.1</v>
      </c>
      <c r="J448" s="8">
        <v>4591.8999999999996</v>
      </c>
      <c r="K448" s="8">
        <v>2084.6999999999998</v>
      </c>
      <c r="L448" s="8">
        <v>1560</v>
      </c>
      <c r="M448" s="8">
        <v>3870.5</v>
      </c>
      <c r="N448" s="8">
        <v>3846.7</v>
      </c>
      <c r="O448" s="8">
        <v>26908.7</v>
      </c>
      <c r="P448" s="8">
        <v>10952.2</v>
      </c>
      <c r="Q448" s="8">
        <v>4596.5</v>
      </c>
      <c r="R448" s="8">
        <v>2103.6</v>
      </c>
      <c r="S448" s="8">
        <v>1556.4</v>
      </c>
      <c r="T448" s="8">
        <v>3877.6</v>
      </c>
      <c r="U448" s="8">
        <v>3826.3</v>
      </c>
      <c r="V448" s="8">
        <v>26913.200000000001</v>
      </c>
    </row>
    <row r="449" spans="1:22" x14ac:dyDescent="0.15">
      <c r="A449" s="9">
        <v>43374</v>
      </c>
      <c r="B449" s="8">
        <v>11126.1</v>
      </c>
      <c r="C449" s="8">
        <v>4779.8999999999996</v>
      </c>
      <c r="D449" s="8">
        <v>2082.5</v>
      </c>
      <c r="E449" s="8">
        <v>1524.8</v>
      </c>
      <c r="F449" s="8">
        <v>3965.3</v>
      </c>
      <c r="G449" s="8">
        <v>3929.1</v>
      </c>
      <c r="H449" s="8">
        <v>27407.7</v>
      </c>
      <c r="I449" s="8">
        <v>10996</v>
      </c>
      <c r="J449" s="8">
        <v>4642.1000000000004</v>
      </c>
      <c r="K449" s="8">
        <v>2137.9</v>
      </c>
      <c r="L449" s="8">
        <v>1565.6</v>
      </c>
      <c r="M449" s="8">
        <v>3892.6</v>
      </c>
      <c r="N449" s="8">
        <v>3808</v>
      </c>
      <c r="O449" s="8">
        <v>27042.2</v>
      </c>
      <c r="P449" s="8">
        <v>11005.9</v>
      </c>
      <c r="Q449" s="8">
        <v>4600.3999999999996</v>
      </c>
      <c r="R449" s="8">
        <v>2105</v>
      </c>
      <c r="S449" s="8">
        <v>1554.3</v>
      </c>
      <c r="T449" s="8">
        <v>3885.1</v>
      </c>
      <c r="U449" s="8">
        <v>3836.6</v>
      </c>
      <c r="V449" s="8">
        <v>26988.9</v>
      </c>
    </row>
    <row r="450" spans="1:22" x14ac:dyDescent="0.15">
      <c r="A450" s="9">
        <v>43405</v>
      </c>
      <c r="B450" s="8">
        <v>11214.7</v>
      </c>
      <c r="C450" s="8">
        <v>5100</v>
      </c>
      <c r="D450" s="8">
        <v>2268.6999999999998</v>
      </c>
      <c r="E450" s="8">
        <v>1745.1</v>
      </c>
      <c r="F450" s="8">
        <v>4346.5</v>
      </c>
      <c r="G450" s="8">
        <v>3934.2</v>
      </c>
      <c r="H450" s="8">
        <v>28609.200000000001</v>
      </c>
      <c r="I450" s="8">
        <v>11001.8</v>
      </c>
      <c r="J450" s="8">
        <v>4590.2</v>
      </c>
      <c r="K450" s="8">
        <v>2095.8000000000002</v>
      </c>
      <c r="L450" s="8">
        <v>1537.1</v>
      </c>
      <c r="M450" s="8">
        <v>3866</v>
      </c>
      <c r="N450" s="8">
        <v>3797.1</v>
      </c>
      <c r="O450" s="8">
        <v>26888</v>
      </c>
      <c r="P450" s="8">
        <v>11068.6</v>
      </c>
      <c r="Q450" s="8">
        <v>4601.3999999999996</v>
      </c>
      <c r="R450" s="8">
        <v>2109.6999999999998</v>
      </c>
      <c r="S450" s="8">
        <v>1553</v>
      </c>
      <c r="T450" s="8">
        <v>3891.4</v>
      </c>
      <c r="U450" s="8">
        <v>3845.8</v>
      </c>
      <c r="V450" s="8">
        <v>27066.5</v>
      </c>
    </row>
    <row r="451" spans="1:22" x14ac:dyDescent="0.15">
      <c r="A451" s="9">
        <v>43435</v>
      </c>
      <c r="B451" s="8">
        <v>13037.6</v>
      </c>
      <c r="C451" s="8">
        <v>5826.5</v>
      </c>
      <c r="D451" s="8">
        <v>3351.8</v>
      </c>
      <c r="E451" s="8">
        <v>2813.5</v>
      </c>
      <c r="F451" s="8">
        <v>5053.1000000000004</v>
      </c>
      <c r="G451" s="8">
        <v>4278.8999999999996</v>
      </c>
      <c r="H451" s="8">
        <v>34361.4</v>
      </c>
      <c r="I451" s="8">
        <v>11183.5</v>
      </c>
      <c r="J451" s="8">
        <v>4585.3</v>
      </c>
      <c r="K451" s="8">
        <v>2109.6</v>
      </c>
      <c r="L451" s="8">
        <v>1567.6</v>
      </c>
      <c r="M451" s="8">
        <v>3898.2</v>
      </c>
      <c r="N451" s="8">
        <v>3885.6</v>
      </c>
      <c r="O451" s="8">
        <v>27229.9</v>
      </c>
      <c r="P451" s="8">
        <v>11128.5</v>
      </c>
      <c r="Q451" s="8">
        <v>4594.3</v>
      </c>
      <c r="R451" s="8">
        <v>2114.6</v>
      </c>
      <c r="S451" s="8">
        <v>1552.4</v>
      </c>
      <c r="T451" s="8">
        <v>3889.5</v>
      </c>
      <c r="U451" s="8">
        <v>3857.3</v>
      </c>
      <c r="V451" s="8">
        <v>27136.9</v>
      </c>
    </row>
    <row r="452" spans="1:22" x14ac:dyDescent="0.15">
      <c r="A452" s="9">
        <v>43466</v>
      </c>
      <c r="B452" s="8">
        <v>11253.8</v>
      </c>
      <c r="C452" s="8">
        <v>4518.6000000000004</v>
      </c>
      <c r="D452" s="8">
        <v>2027.6</v>
      </c>
      <c r="E452" s="8">
        <v>1409.6</v>
      </c>
      <c r="F452" s="8">
        <v>3711.7</v>
      </c>
      <c r="G452" s="8">
        <v>3826.7</v>
      </c>
      <c r="H452" s="8">
        <v>26748</v>
      </c>
      <c r="I452" s="8">
        <v>11187.4</v>
      </c>
      <c r="J452" s="8">
        <v>4590.1000000000004</v>
      </c>
      <c r="K452" s="8">
        <v>2109.6</v>
      </c>
      <c r="L452" s="8">
        <v>1540.1</v>
      </c>
      <c r="M452" s="8">
        <v>3898.5</v>
      </c>
      <c r="N452" s="8">
        <v>3888.2</v>
      </c>
      <c r="O452" s="8">
        <v>27213.8</v>
      </c>
      <c r="P452" s="8">
        <v>11177.6</v>
      </c>
      <c r="Q452" s="8">
        <v>4581.2</v>
      </c>
      <c r="R452" s="8">
        <v>2121.6</v>
      </c>
      <c r="S452" s="8">
        <v>1552.5</v>
      </c>
      <c r="T452" s="8">
        <v>3891.4</v>
      </c>
      <c r="U452" s="8">
        <v>3868.9</v>
      </c>
      <c r="V452" s="8">
        <v>27193.5</v>
      </c>
    </row>
    <row r="453" spans="1:22" x14ac:dyDescent="0.15">
      <c r="A453" s="9">
        <v>43497</v>
      </c>
      <c r="B453" s="8">
        <v>10308.6</v>
      </c>
      <c r="C453" s="8">
        <v>4020.5</v>
      </c>
      <c r="D453" s="8">
        <v>1690.8</v>
      </c>
      <c r="E453" s="8">
        <v>1115.2</v>
      </c>
      <c r="F453" s="8">
        <v>3458.1</v>
      </c>
      <c r="G453" s="8">
        <v>3456</v>
      </c>
      <c r="H453" s="8">
        <v>24049.200000000001</v>
      </c>
      <c r="I453" s="8">
        <v>11226.4</v>
      </c>
      <c r="J453" s="8">
        <v>4575.3</v>
      </c>
      <c r="K453" s="8">
        <v>2147.6</v>
      </c>
      <c r="L453" s="8">
        <v>1566.3</v>
      </c>
      <c r="M453" s="8">
        <v>3908</v>
      </c>
      <c r="N453" s="8">
        <v>3874.6</v>
      </c>
      <c r="O453" s="8">
        <v>27298.1</v>
      </c>
      <c r="P453" s="8">
        <v>11211.5</v>
      </c>
      <c r="Q453" s="8">
        <v>4565.3</v>
      </c>
      <c r="R453" s="8">
        <v>2126.8000000000002</v>
      </c>
      <c r="S453" s="8">
        <v>1553.7</v>
      </c>
      <c r="T453" s="8">
        <v>3895</v>
      </c>
      <c r="U453" s="8">
        <v>3879.8</v>
      </c>
      <c r="V453" s="8">
        <v>27232.5</v>
      </c>
    </row>
    <row r="454" spans="1:22" x14ac:dyDescent="0.15">
      <c r="A454" s="9">
        <v>43525</v>
      </c>
      <c r="B454" s="8">
        <v>11405.1</v>
      </c>
      <c r="C454" s="8">
        <v>4325.3999999999996</v>
      </c>
      <c r="D454" s="8">
        <v>1970.6</v>
      </c>
      <c r="E454" s="8">
        <v>1355.7</v>
      </c>
      <c r="F454" s="8">
        <v>3706.7</v>
      </c>
      <c r="G454" s="8">
        <v>3897.1</v>
      </c>
      <c r="H454" s="8">
        <v>26660.6</v>
      </c>
      <c r="I454" s="8">
        <v>11250.5</v>
      </c>
      <c r="J454" s="8">
        <v>4556.5</v>
      </c>
      <c r="K454" s="8">
        <v>2146.1999999999998</v>
      </c>
      <c r="L454" s="8">
        <v>1535.7</v>
      </c>
      <c r="M454" s="8">
        <v>3880.5</v>
      </c>
      <c r="N454" s="8">
        <v>3903.8</v>
      </c>
      <c r="O454" s="8">
        <v>27273.1</v>
      </c>
      <c r="P454" s="8">
        <v>11223.8</v>
      </c>
      <c r="Q454" s="8">
        <v>4554.7</v>
      </c>
      <c r="R454" s="8">
        <v>2135.6999999999998</v>
      </c>
      <c r="S454" s="8">
        <v>1556.4</v>
      </c>
      <c r="T454" s="8">
        <v>3904.6</v>
      </c>
      <c r="U454" s="8">
        <v>3886.5</v>
      </c>
      <c r="V454" s="8">
        <v>27258.9</v>
      </c>
    </row>
    <row r="455" spans="1:22" x14ac:dyDescent="0.15">
      <c r="A455" s="9">
        <v>43556</v>
      </c>
      <c r="B455" s="8">
        <v>10964.8</v>
      </c>
      <c r="C455" s="8">
        <v>4086.4</v>
      </c>
      <c r="D455" s="8">
        <v>1996.7</v>
      </c>
      <c r="E455" s="8">
        <v>1474.6</v>
      </c>
      <c r="F455" s="8">
        <v>3606.5</v>
      </c>
      <c r="G455" s="8">
        <v>3808.2</v>
      </c>
      <c r="H455" s="8">
        <v>25937.200000000001</v>
      </c>
      <c r="I455" s="8">
        <v>11201.4</v>
      </c>
      <c r="J455" s="8">
        <v>4520.2</v>
      </c>
      <c r="K455" s="8">
        <v>2123.9</v>
      </c>
      <c r="L455" s="8">
        <v>1565.8</v>
      </c>
      <c r="M455" s="8">
        <v>3908.7</v>
      </c>
      <c r="N455" s="8">
        <v>3868.9</v>
      </c>
      <c r="O455" s="8">
        <v>27188.799999999999</v>
      </c>
      <c r="P455" s="8">
        <v>11213.7</v>
      </c>
      <c r="Q455" s="8">
        <v>4553.1000000000004</v>
      </c>
      <c r="R455" s="8">
        <v>2146</v>
      </c>
      <c r="S455" s="8">
        <v>1559.8</v>
      </c>
      <c r="T455" s="8">
        <v>3915</v>
      </c>
      <c r="U455" s="8">
        <v>3887</v>
      </c>
      <c r="V455" s="8">
        <v>27279.3</v>
      </c>
    </row>
    <row r="456" spans="1:22" x14ac:dyDescent="0.15">
      <c r="A456" s="9">
        <v>43586</v>
      </c>
      <c r="B456" s="8">
        <v>11024.2</v>
      </c>
      <c r="C456" s="8">
        <v>4345.5</v>
      </c>
      <c r="D456" s="8">
        <v>2167.9</v>
      </c>
      <c r="E456" s="8">
        <v>1512</v>
      </c>
      <c r="F456" s="8">
        <v>3829.4</v>
      </c>
      <c r="G456" s="8">
        <v>3829</v>
      </c>
      <c r="H456" s="8">
        <v>26708</v>
      </c>
      <c r="I456" s="8">
        <v>11210</v>
      </c>
      <c r="J456" s="8">
        <v>4556.1000000000004</v>
      </c>
      <c r="K456" s="8">
        <v>2146.4</v>
      </c>
      <c r="L456" s="8">
        <v>1575.7</v>
      </c>
      <c r="M456" s="8">
        <v>3929.3</v>
      </c>
      <c r="N456" s="8">
        <v>3870.2</v>
      </c>
      <c r="O456" s="8">
        <v>27287.8</v>
      </c>
      <c r="P456" s="8">
        <v>11208.5</v>
      </c>
      <c r="Q456" s="8">
        <v>4560</v>
      </c>
      <c r="R456" s="8">
        <v>2157.4</v>
      </c>
      <c r="S456" s="8">
        <v>1562.8</v>
      </c>
      <c r="T456" s="8">
        <v>3933.5</v>
      </c>
      <c r="U456" s="8">
        <v>3883.8</v>
      </c>
      <c r="V456" s="8">
        <v>27308.1</v>
      </c>
    </row>
    <row r="457" spans="1:22" x14ac:dyDescent="0.15">
      <c r="A457" s="9">
        <v>43617</v>
      </c>
      <c r="B457" s="8">
        <v>10587.6</v>
      </c>
      <c r="C457" s="8">
        <v>4590.3999999999996</v>
      </c>
      <c r="D457" s="8">
        <v>2134.9</v>
      </c>
      <c r="E457" s="8">
        <v>1570.2</v>
      </c>
      <c r="F457" s="8">
        <v>3722.7</v>
      </c>
      <c r="G457" s="8">
        <v>3706</v>
      </c>
      <c r="H457" s="8">
        <v>26311.9</v>
      </c>
      <c r="I457" s="8">
        <v>11180.8</v>
      </c>
      <c r="J457" s="8">
        <v>4580.6000000000004</v>
      </c>
      <c r="K457" s="8">
        <v>2182.6</v>
      </c>
      <c r="L457" s="8">
        <v>1570</v>
      </c>
      <c r="M457" s="8">
        <v>3968.4</v>
      </c>
      <c r="N457" s="8">
        <v>3905.1</v>
      </c>
      <c r="O457" s="8">
        <v>27387.599999999999</v>
      </c>
      <c r="P457" s="8">
        <v>11208.8</v>
      </c>
      <c r="Q457" s="8">
        <v>4573.8</v>
      </c>
      <c r="R457" s="8">
        <v>2167.9</v>
      </c>
      <c r="S457" s="8">
        <v>1565.1</v>
      </c>
      <c r="T457" s="8">
        <v>3956.9</v>
      </c>
      <c r="U457" s="8">
        <v>3883.4</v>
      </c>
      <c r="V457" s="8">
        <v>27351.4</v>
      </c>
    </row>
    <row r="458" spans="1:22" x14ac:dyDescent="0.15">
      <c r="A458" s="9">
        <v>43647</v>
      </c>
      <c r="B458" s="8">
        <v>10950.7</v>
      </c>
      <c r="C458" s="8">
        <v>4431.3999999999996</v>
      </c>
      <c r="D458" s="8">
        <v>2005.3</v>
      </c>
      <c r="E458" s="8">
        <v>1439.2</v>
      </c>
      <c r="F458" s="8">
        <v>3873.3</v>
      </c>
      <c r="G458" s="8">
        <v>3903.5</v>
      </c>
      <c r="H458" s="8">
        <v>26603.4</v>
      </c>
      <c r="I458" s="8">
        <v>11216.2</v>
      </c>
      <c r="J458" s="8">
        <v>4604.8</v>
      </c>
      <c r="K458" s="8">
        <v>2167.9</v>
      </c>
      <c r="L458" s="8">
        <v>1548.9</v>
      </c>
      <c r="M458" s="8">
        <v>3963.9</v>
      </c>
      <c r="N458" s="8">
        <v>3885</v>
      </c>
      <c r="O458" s="8">
        <v>27386.6</v>
      </c>
      <c r="P458" s="8">
        <v>11221.1</v>
      </c>
      <c r="Q458" s="8">
        <v>4592.3</v>
      </c>
      <c r="R458" s="8">
        <v>2176.8000000000002</v>
      </c>
      <c r="S458" s="8">
        <v>1567.8</v>
      </c>
      <c r="T458" s="8">
        <v>3974.7</v>
      </c>
      <c r="U458" s="8">
        <v>3887</v>
      </c>
      <c r="V458" s="8">
        <v>27418.6</v>
      </c>
    </row>
    <row r="459" spans="1:22" x14ac:dyDescent="0.15">
      <c r="A459" s="9">
        <v>43678</v>
      </c>
      <c r="B459" s="8">
        <v>11296.5</v>
      </c>
      <c r="C459" s="8">
        <v>4480.6000000000004</v>
      </c>
      <c r="D459" s="8">
        <v>2030.1</v>
      </c>
      <c r="E459" s="8">
        <v>1381.4</v>
      </c>
      <c r="F459" s="8">
        <v>3969.8</v>
      </c>
      <c r="G459" s="8">
        <v>3948.4</v>
      </c>
      <c r="H459" s="8">
        <v>27106.799999999999</v>
      </c>
      <c r="I459" s="8">
        <v>11247.5</v>
      </c>
      <c r="J459" s="8">
        <v>4618.6000000000004</v>
      </c>
      <c r="K459" s="8">
        <v>2207.3000000000002</v>
      </c>
      <c r="L459" s="8">
        <v>1575.1</v>
      </c>
      <c r="M459" s="8">
        <v>4003.3</v>
      </c>
      <c r="N459" s="8">
        <v>3888</v>
      </c>
      <c r="O459" s="8">
        <v>27539.8</v>
      </c>
      <c r="P459" s="8">
        <v>11252.6</v>
      </c>
      <c r="Q459" s="8">
        <v>4613.2</v>
      </c>
      <c r="R459" s="8">
        <v>2184.1999999999998</v>
      </c>
      <c r="S459" s="8">
        <v>1570.1</v>
      </c>
      <c r="T459" s="8">
        <v>3984.8</v>
      </c>
      <c r="U459" s="8">
        <v>3893.7</v>
      </c>
      <c r="V459" s="8">
        <v>27502</v>
      </c>
    </row>
    <row r="460" spans="1:22" x14ac:dyDescent="0.15">
      <c r="A460" s="9">
        <v>43709</v>
      </c>
      <c r="B460" s="8">
        <v>10949.5</v>
      </c>
      <c r="C460" s="8">
        <v>4491.2</v>
      </c>
      <c r="D460" s="8">
        <v>1981.3</v>
      </c>
      <c r="E460" s="8">
        <v>1384.2</v>
      </c>
      <c r="F460" s="8">
        <v>3853.6</v>
      </c>
      <c r="G460" s="8">
        <v>3926.6</v>
      </c>
      <c r="H460" s="8">
        <v>26586.5</v>
      </c>
      <c r="I460" s="8">
        <v>11293.7</v>
      </c>
      <c r="J460" s="8">
        <v>4618.8</v>
      </c>
      <c r="K460" s="8">
        <v>2185.5</v>
      </c>
      <c r="L460" s="8">
        <v>1576.2</v>
      </c>
      <c r="M460" s="8">
        <v>3996.2</v>
      </c>
      <c r="N460" s="8">
        <v>3894.5</v>
      </c>
      <c r="O460" s="8">
        <v>27564.9</v>
      </c>
      <c r="P460" s="8">
        <v>11305.7</v>
      </c>
      <c r="Q460" s="8">
        <v>4631.3999999999996</v>
      </c>
      <c r="R460" s="8">
        <v>2190.1999999999998</v>
      </c>
      <c r="S460" s="8">
        <v>1572.6</v>
      </c>
      <c r="T460" s="8">
        <v>3990.4</v>
      </c>
      <c r="U460" s="8">
        <v>3904</v>
      </c>
      <c r="V460" s="8">
        <v>27591.5</v>
      </c>
    </row>
    <row r="461" spans="1:22" x14ac:dyDescent="0.15">
      <c r="A461" s="9">
        <v>43739</v>
      </c>
      <c r="B461" s="8">
        <v>11569.3</v>
      </c>
      <c r="C461" s="8">
        <v>4793.8999999999996</v>
      </c>
      <c r="D461" s="8">
        <v>2126.9</v>
      </c>
      <c r="E461" s="8">
        <v>1544.5</v>
      </c>
      <c r="F461" s="8">
        <v>4069.3</v>
      </c>
      <c r="G461" s="8">
        <v>4043.2</v>
      </c>
      <c r="H461" s="8">
        <v>28147.1</v>
      </c>
      <c r="I461" s="8">
        <v>11389.2</v>
      </c>
      <c r="J461" s="8">
        <v>4643.8</v>
      </c>
      <c r="K461" s="8">
        <v>2173.9</v>
      </c>
      <c r="L461" s="8">
        <v>1571.7</v>
      </c>
      <c r="M461" s="8">
        <v>3999.3</v>
      </c>
      <c r="N461" s="8">
        <v>3903.8</v>
      </c>
      <c r="O461" s="8">
        <v>27681.7</v>
      </c>
      <c r="P461" s="8">
        <v>11368.6</v>
      </c>
      <c r="Q461" s="8">
        <v>4644.6000000000004</v>
      </c>
      <c r="R461" s="8">
        <v>2189.4</v>
      </c>
      <c r="S461" s="8">
        <v>1575</v>
      </c>
      <c r="T461" s="8">
        <v>3986.2</v>
      </c>
      <c r="U461" s="8">
        <v>3916.1</v>
      </c>
      <c r="V461" s="8">
        <v>27675.7</v>
      </c>
    </row>
    <row r="462" spans="1:22" x14ac:dyDescent="0.15">
      <c r="A462" s="9">
        <v>43770</v>
      </c>
      <c r="B462" s="8">
        <v>11648.2</v>
      </c>
      <c r="C462" s="8">
        <v>5172.5</v>
      </c>
      <c r="D462" s="8">
        <v>2404</v>
      </c>
      <c r="E462" s="8">
        <v>1826.3</v>
      </c>
      <c r="F462" s="8">
        <v>4408.8999999999996</v>
      </c>
      <c r="G462" s="8">
        <v>4067.3</v>
      </c>
      <c r="H462" s="8">
        <v>29527.1</v>
      </c>
      <c r="I462" s="8">
        <v>11392.2</v>
      </c>
      <c r="J462" s="8">
        <v>4647.8</v>
      </c>
      <c r="K462" s="8">
        <v>2173.1</v>
      </c>
      <c r="L462" s="8">
        <v>1580.8</v>
      </c>
      <c r="M462" s="8">
        <v>3941.9</v>
      </c>
      <c r="N462" s="8">
        <v>3954.8</v>
      </c>
      <c r="O462" s="8">
        <v>27690.7</v>
      </c>
      <c r="P462" s="8">
        <v>11436</v>
      </c>
      <c r="Q462" s="8">
        <v>4653.8999999999996</v>
      </c>
      <c r="R462" s="8">
        <v>2184.9</v>
      </c>
      <c r="S462" s="8">
        <v>1578.2</v>
      </c>
      <c r="T462" s="8">
        <v>3979.5</v>
      </c>
      <c r="U462" s="8">
        <v>3930.9</v>
      </c>
      <c r="V462" s="8">
        <v>27749.9</v>
      </c>
    </row>
    <row r="463" spans="1:22" x14ac:dyDescent="0.15">
      <c r="A463" s="9">
        <v>43800</v>
      </c>
      <c r="B463" s="8">
        <v>13310.8</v>
      </c>
      <c r="C463" s="8">
        <v>6024.6</v>
      </c>
      <c r="D463" s="8">
        <v>3474.3</v>
      </c>
      <c r="E463" s="8">
        <v>2819.9</v>
      </c>
      <c r="F463" s="8">
        <v>5191.2</v>
      </c>
      <c r="G463" s="8">
        <v>4389.3</v>
      </c>
      <c r="H463" s="8">
        <v>35210.199999999997</v>
      </c>
      <c r="I463" s="8">
        <v>11527.4</v>
      </c>
      <c r="J463" s="8">
        <v>4702.3999999999996</v>
      </c>
      <c r="K463" s="8">
        <v>2203.9</v>
      </c>
      <c r="L463" s="8">
        <v>1590.7</v>
      </c>
      <c r="M463" s="8">
        <v>3993.4</v>
      </c>
      <c r="N463" s="8">
        <v>3952.9</v>
      </c>
      <c r="O463" s="8">
        <v>27970.6</v>
      </c>
      <c r="P463" s="8">
        <v>11498.7</v>
      </c>
      <c r="Q463" s="8">
        <v>4660.3999999999996</v>
      </c>
      <c r="R463" s="8">
        <v>2174.8000000000002</v>
      </c>
      <c r="S463" s="8">
        <v>1581.4</v>
      </c>
      <c r="T463" s="8">
        <v>3965.8</v>
      </c>
      <c r="U463" s="8">
        <v>3945.3</v>
      </c>
      <c r="V463" s="8">
        <v>27812.9</v>
      </c>
    </row>
    <row r="464" spans="1:22" x14ac:dyDescent="0.15">
      <c r="A464" s="9">
        <v>43831</v>
      </c>
      <c r="B464" s="8">
        <v>11574.1</v>
      </c>
      <c r="C464" s="8">
        <v>4563.3999999999996</v>
      </c>
      <c r="D464" s="8">
        <v>2086.8000000000002</v>
      </c>
      <c r="E464" s="8">
        <v>1417.3</v>
      </c>
      <c r="F464" s="8">
        <v>3789.7</v>
      </c>
      <c r="G464" s="8">
        <v>3890.1</v>
      </c>
      <c r="H464" s="8">
        <v>27321.3</v>
      </c>
      <c r="I464" s="8">
        <v>11519.8</v>
      </c>
      <c r="J464" s="8">
        <v>4650.1000000000004</v>
      </c>
      <c r="K464" s="8">
        <v>2176.6999999999998</v>
      </c>
      <c r="L464" s="8">
        <v>1566.5</v>
      </c>
      <c r="M464" s="8">
        <v>3964.5</v>
      </c>
      <c r="N464" s="8">
        <v>3957.8</v>
      </c>
      <c r="O464" s="8">
        <v>27835.5</v>
      </c>
      <c r="P464" s="8">
        <v>11545.1</v>
      </c>
      <c r="Q464" s="8">
        <v>4664.5</v>
      </c>
      <c r="R464" s="8">
        <v>2159.6</v>
      </c>
      <c r="S464" s="8">
        <v>1583.1</v>
      </c>
      <c r="T464" s="8">
        <v>3961.1</v>
      </c>
      <c r="U464" s="8">
        <v>3958.7</v>
      </c>
      <c r="V464" s="8">
        <v>27871.7</v>
      </c>
    </row>
    <row r="465" spans="1:22" x14ac:dyDescent="0.15">
      <c r="A465" s="9">
        <v>43862</v>
      </c>
      <c r="B465" s="8">
        <v>11072.4</v>
      </c>
      <c r="C465" s="8">
        <v>4214.3999999999996</v>
      </c>
      <c r="D465" s="8">
        <v>1718.2</v>
      </c>
      <c r="E465" s="8">
        <v>1180.2</v>
      </c>
      <c r="F465" s="8">
        <v>3629.8</v>
      </c>
      <c r="G465" s="8">
        <v>3621.3</v>
      </c>
      <c r="H465" s="8">
        <v>25436.2</v>
      </c>
      <c r="I465" s="8">
        <v>11576.3</v>
      </c>
      <c r="J465" s="8">
        <v>4639.5</v>
      </c>
      <c r="K465" s="8">
        <v>2106.4</v>
      </c>
      <c r="L465" s="8">
        <v>1587.1</v>
      </c>
      <c r="M465" s="8">
        <v>3990.4</v>
      </c>
      <c r="N465" s="8">
        <v>3955.4</v>
      </c>
      <c r="O465" s="8">
        <v>27855.1</v>
      </c>
      <c r="P465" s="8">
        <v>11580.5</v>
      </c>
      <c r="Q465" s="8">
        <v>4668.2</v>
      </c>
      <c r="R465" s="8">
        <v>2143.4</v>
      </c>
      <c r="S465" s="8">
        <v>1583.9</v>
      </c>
      <c r="T465" s="8">
        <v>3959.1</v>
      </c>
      <c r="U465" s="8">
        <v>3972.9</v>
      </c>
      <c r="V465" s="8">
        <v>27934.1</v>
      </c>
    </row>
    <row r="466" spans="1:22" x14ac:dyDescent="0.15">
      <c r="A466" s="9">
        <v>43891</v>
      </c>
      <c r="B466" s="8">
        <v>14319.2</v>
      </c>
      <c r="C466" s="8">
        <v>4752.3999999999996</v>
      </c>
      <c r="D466" s="8">
        <v>1452.4</v>
      </c>
      <c r="E466" s="8">
        <v>1241.4000000000001</v>
      </c>
      <c r="F466" s="8">
        <v>4395.3999999999996</v>
      </c>
      <c r="G466" s="8">
        <v>3007.1</v>
      </c>
      <c r="H466" s="8">
        <v>29167.9</v>
      </c>
      <c r="I466" s="8">
        <v>14298.2</v>
      </c>
      <c r="J466" s="8">
        <v>4997.8</v>
      </c>
      <c r="K466" s="8">
        <v>1601.9</v>
      </c>
      <c r="L466" s="8">
        <v>1426.1</v>
      </c>
      <c r="M466" s="8">
        <v>4592.5</v>
      </c>
      <c r="N466" s="8">
        <v>3014</v>
      </c>
      <c r="O466" s="8">
        <v>29930.5</v>
      </c>
      <c r="P466" s="8"/>
      <c r="Q466" s="8"/>
      <c r="R466" s="8"/>
      <c r="S466" s="8"/>
      <c r="T466" s="8"/>
      <c r="U466" s="8"/>
      <c r="V466" s="8"/>
    </row>
    <row r="467" spans="1:22" x14ac:dyDescent="0.15">
      <c r="A467" s="9">
        <v>43922</v>
      </c>
      <c r="B467" s="8">
        <v>11662.1</v>
      </c>
      <c r="C467" s="8">
        <v>4532.7</v>
      </c>
      <c r="D467" s="8">
        <v>703.9</v>
      </c>
      <c r="E467" s="8">
        <v>1177</v>
      </c>
      <c r="F467" s="8">
        <v>3645.2</v>
      </c>
      <c r="G467" s="8">
        <v>1907.9</v>
      </c>
      <c r="H467" s="8">
        <v>23628.7</v>
      </c>
      <c r="I467" s="8">
        <v>11856.4</v>
      </c>
      <c r="J467" s="8">
        <v>5049.2</v>
      </c>
      <c r="K467" s="8">
        <v>751.7</v>
      </c>
      <c r="L467" s="8">
        <v>1241.5999999999999</v>
      </c>
      <c r="M467" s="8">
        <v>3961.8</v>
      </c>
      <c r="N467" s="8">
        <v>1952.4</v>
      </c>
      <c r="O467" s="8">
        <v>24813.200000000001</v>
      </c>
      <c r="P467" s="8"/>
      <c r="Q467" s="8"/>
      <c r="R467" s="8"/>
      <c r="S467" s="8"/>
      <c r="T467" s="8"/>
      <c r="U467" s="8"/>
      <c r="V467" s="8"/>
    </row>
    <row r="468" spans="1:22" x14ac:dyDescent="0.15">
      <c r="A468" s="9">
        <v>43952</v>
      </c>
      <c r="B468" s="8">
        <v>12518.8</v>
      </c>
      <c r="C468" s="8">
        <v>5607.6</v>
      </c>
      <c r="D468" s="8">
        <v>1740.7</v>
      </c>
      <c r="E468" s="8">
        <v>1697.2</v>
      </c>
      <c r="F468" s="8">
        <v>4131.3</v>
      </c>
      <c r="G468" s="8">
        <v>2499.1</v>
      </c>
      <c r="H468" s="8">
        <v>28194.7</v>
      </c>
      <c r="I468" s="8">
        <v>12623.9</v>
      </c>
      <c r="J468" s="8">
        <v>5845.5</v>
      </c>
      <c r="K468" s="8">
        <v>1726.8</v>
      </c>
      <c r="L468" s="8">
        <v>1751.8</v>
      </c>
      <c r="M468" s="8">
        <v>4303.8</v>
      </c>
      <c r="N468" s="8">
        <v>2524.9</v>
      </c>
      <c r="O468" s="8">
        <v>28776.6</v>
      </c>
      <c r="P468" s="8"/>
      <c r="Q468" s="8"/>
      <c r="R468" s="8"/>
      <c r="S468" s="8"/>
      <c r="T468" s="8"/>
      <c r="U468" s="8"/>
      <c r="V468" s="8"/>
    </row>
    <row r="469" spans="1:22" x14ac:dyDescent="0.15">
      <c r="A469" s="9">
        <v>43983</v>
      </c>
      <c r="B469" s="8">
        <v>11952.6</v>
      </c>
      <c r="C469" s="8">
        <v>5756.6</v>
      </c>
      <c r="D469" s="8">
        <v>2055.3000000000002</v>
      </c>
      <c r="E469" s="8">
        <v>1557.7</v>
      </c>
      <c r="F469" s="8">
        <v>4142.6000000000004</v>
      </c>
      <c r="G469" s="8">
        <v>3111.8</v>
      </c>
      <c r="H469" s="8">
        <v>28576.6</v>
      </c>
      <c r="I469" s="8">
        <v>12702.3</v>
      </c>
      <c r="J469" s="8">
        <v>5693</v>
      </c>
      <c r="K469" s="8">
        <v>2094.8000000000002</v>
      </c>
      <c r="L469" s="8">
        <v>1574.8</v>
      </c>
      <c r="M469" s="8">
        <v>4329.8</v>
      </c>
      <c r="N469" s="8">
        <v>3238.6</v>
      </c>
      <c r="O469" s="8">
        <v>29633.4</v>
      </c>
      <c r="P469" s="8"/>
      <c r="Q469" s="8"/>
      <c r="R469" s="8"/>
      <c r="S469" s="8"/>
      <c r="T469" s="8"/>
      <c r="U469" s="8"/>
      <c r="V469" s="8"/>
    </row>
    <row r="470" spans="1:22" x14ac:dyDescent="0.15">
      <c r="A470" s="9">
        <v>44013</v>
      </c>
      <c r="B470" s="8">
        <v>12697.8</v>
      </c>
      <c r="C470" s="8">
        <v>5764.9</v>
      </c>
      <c r="D470" s="8">
        <v>2104.1999999999998</v>
      </c>
      <c r="E470" s="8">
        <v>1528</v>
      </c>
      <c r="F470" s="8">
        <v>4467.8</v>
      </c>
      <c r="G470" s="8">
        <v>3458</v>
      </c>
      <c r="H470" s="8">
        <v>30020.7</v>
      </c>
      <c r="I470" s="8">
        <v>12909.9</v>
      </c>
      <c r="J470" s="8">
        <v>5992.9</v>
      </c>
      <c r="K470" s="8">
        <v>2252.6999999999998</v>
      </c>
      <c r="L470" s="8">
        <v>1630.6</v>
      </c>
      <c r="M470" s="8">
        <v>4559.1000000000004</v>
      </c>
      <c r="N470" s="8">
        <v>3406.6</v>
      </c>
      <c r="O470" s="8">
        <v>30751.8</v>
      </c>
      <c r="P470" s="8"/>
      <c r="Q470" s="8"/>
      <c r="R470" s="8"/>
      <c r="S470" s="8"/>
      <c r="T470" s="8"/>
      <c r="U470" s="8"/>
      <c r="V470" s="8"/>
    </row>
    <row r="471" spans="1:22" x14ac:dyDescent="0.15">
      <c r="A471" s="9">
        <v>44044</v>
      </c>
      <c r="B471" s="8">
        <v>12773.5</v>
      </c>
      <c r="C471" s="8">
        <v>5336.9</v>
      </c>
      <c r="D471" s="8">
        <v>1798</v>
      </c>
      <c r="E471" s="8">
        <v>1236.8</v>
      </c>
      <c r="F471" s="8">
        <v>4204.6000000000004</v>
      </c>
      <c r="G471" s="8">
        <v>3229.6</v>
      </c>
      <c r="H471" s="8">
        <v>28579.5</v>
      </c>
      <c r="I471" s="8">
        <v>12872.9</v>
      </c>
      <c r="J471" s="8">
        <v>5578.3</v>
      </c>
      <c r="K471" s="8">
        <v>1996.2</v>
      </c>
      <c r="L471" s="8">
        <v>1470.1</v>
      </c>
      <c r="M471" s="8">
        <v>4339.8</v>
      </c>
      <c r="N471" s="8">
        <v>3215.1</v>
      </c>
      <c r="O471" s="8">
        <v>29472.5</v>
      </c>
      <c r="P471" s="8"/>
      <c r="Q471" s="8"/>
      <c r="R471" s="8"/>
      <c r="S471" s="8"/>
      <c r="T471" s="8"/>
      <c r="U471" s="8"/>
      <c r="V471" s="8"/>
    </row>
    <row r="472" spans="1:22" x14ac:dyDescent="0.15">
      <c r="A472" s="9">
        <v>44075</v>
      </c>
      <c r="B472" s="8">
        <v>12382</v>
      </c>
      <c r="C472" s="8">
        <v>5272.7</v>
      </c>
      <c r="D472" s="8">
        <v>1821.5</v>
      </c>
      <c r="E472" s="8">
        <v>1360.2</v>
      </c>
      <c r="F472" s="8">
        <v>4170.8999999999996</v>
      </c>
      <c r="G472" s="8">
        <v>3342.5</v>
      </c>
      <c r="H472" s="8">
        <v>28349.8</v>
      </c>
      <c r="I472" s="8">
        <v>12710.6</v>
      </c>
      <c r="J472" s="8">
        <v>5356.5</v>
      </c>
      <c r="K472" s="8">
        <v>1967.7</v>
      </c>
      <c r="L472" s="8">
        <v>1466.6</v>
      </c>
      <c r="M472" s="8">
        <v>4293.8999999999996</v>
      </c>
      <c r="N472" s="8">
        <v>3298.2</v>
      </c>
      <c r="O472" s="8">
        <v>29093.5</v>
      </c>
      <c r="P472" s="8"/>
      <c r="Q472" s="8"/>
      <c r="R472" s="8"/>
      <c r="S472" s="8"/>
      <c r="T472" s="8"/>
      <c r="U472" s="8"/>
      <c r="V472" s="8"/>
    </row>
    <row r="473" spans="1:22" x14ac:dyDescent="0.15">
      <c r="A473" s="9">
        <v>44105</v>
      </c>
      <c r="B473" s="8">
        <v>13049.3</v>
      </c>
      <c r="C473" s="8">
        <v>5565.9</v>
      </c>
      <c r="D473" s="8">
        <v>2083.6999999999998</v>
      </c>
      <c r="E473" s="8">
        <v>1562.4</v>
      </c>
      <c r="F473" s="8">
        <v>4462.8999999999996</v>
      </c>
      <c r="G473" s="8">
        <v>3615.8</v>
      </c>
      <c r="H473" s="8">
        <v>30340</v>
      </c>
      <c r="I473" s="8">
        <v>12747.7</v>
      </c>
      <c r="J473" s="8">
        <v>5382.7</v>
      </c>
      <c r="K473" s="8">
        <v>2119.6</v>
      </c>
      <c r="L473" s="8">
        <v>1590.5</v>
      </c>
      <c r="M473" s="8">
        <v>4390.6000000000004</v>
      </c>
      <c r="N473" s="8">
        <v>3479.3</v>
      </c>
      <c r="O473" s="8">
        <v>29710.5</v>
      </c>
      <c r="P473" s="8"/>
      <c r="Q473" s="8"/>
      <c r="R473" s="8"/>
      <c r="S473" s="8"/>
      <c r="T473" s="8"/>
      <c r="U473" s="8"/>
      <c r="V473" s="8"/>
    </row>
    <row r="474" spans="1:22" x14ac:dyDescent="0.15">
      <c r="A474" s="9">
        <v>44136</v>
      </c>
      <c r="B474" s="8">
        <v>12786.8</v>
      </c>
      <c r="C474" s="8">
        <v>6525.9</v>
      </c>
      <c r="D474" s="8">
        <v>2757.6</v>
      </c>
      <c r="E474" s="8">
        <v>2070.6999999999998</v>
      </c>
      <c r="F474" s="8">
        <v>5172.7</v>
      </c>
      <c r="G474" s="8">
        <v>3805.6</v>
      </c>
      <c r="H474" s="8">
        <v>33119.300000000003</v>
      </c>
      <c r="I474" s="8">
        <v>12683.8</v>
      </c>
      <c r="J474" s="8">
        <v>5900.9</v>
      </c>
      <c r="K474" s="8">
        <v>2513.6</v>
      </c>
      <c r="L474" s="8">
        <v>1809</v>
      </c>
      <c r="M474" s="8">
        <v>4627</v>
      </c>
      <c r="N474" s="8">
        <v>3719.9</v>
      </c>
      <c r="O474" s="8">
        <v>31254.1</v>
      </c>
      <c r="P474" s="8"/>
      <c r="Q474" s="8"/>
      <c r="R474" s="8"/>
      <c r="S474" s="8"/>
      <c r="T474" s="8"/>
      <c r="U474" s="8"/>
      <c r="V474" s="8"/>
    </row>
    <row r="475" spans="1:22" x14ac:dyDescent="0.15">
      <c r="A475" s="9">
        <v>44166</v>
      </c>
      <c r="B475" s="8">
        <v>14756.9</v>
      </c>
      <c r="C475" s="8">
        <v>7065</v>
      </c>
      <c r="D475" s="8">
        <v>3868.9</v>
      </c>
      <c r="E475" s="8">
        <v>3012.7</v>
      </c>
      <c r="F475" s="8">
        <v>5939.5</v>
      </c>
      <c r="G475" s="8">
        <v>4260.1000000000004</v>
      </c>
      <c r="H475" s="8">
        <v>38903.199999999997</v>
      </c>
      <c r="I475" s="8">
        <v>12758.5</v>
      </c>
      <c r="J475" s="8">
        <v>5585.4</v>
      </c>
      <c r="K475" s="8">
        <v>2453.5</v>
      </c>
      <c r="L475" s="8">
        <v>1701</v>
      </c>
      <c r="M475" s="8">
        <v>4554.6000000000004</v>
      </c>
      <c r="N475" s="8">
        <v>3877.7</v>
      </c>
      <c r="O475" s="8">
        <v>30930.7</v>
      </c>
      <c r="P475" s="8"/>
      <c r="Q475" s="8"/>
      <c r="R475" s="8"/>
      <c r="S475" s="8"/>
      <c r="T475" s="8"/>
      <c r="U475" s="8"/>
      <c r="V475" s="8"/>
    </row>
    <row r="476" spans="1:22" x14ac:dyDescent="0.15">
      <c r="A476" s="9">
        <v>44197</v>
      </c>
      <c r="B476" s="8">
        <v>12825.2</v>
      </c>
      <c r="C476" s="8">
        <v>5447.4</v>
      </c>
      <c r="D476" s="8">
        <v>2237.5</v>
      </c>
      <c r="E476" s="8">
        <v>1514</v>
      </c>
      <c r="F476" s="8">
        <v>4300.6000000000004</v>
      </c>
      <c r="G476" s="8">
        <v>3783.9</v>
      </c>
      <c r="H476" s="8">
        <v>30108.5</v>
      </c>
      <c r="I476" s="8">
        <v>12743.2</v>
      </c>
      <c r="J476" s="8">
        <v>5566.5</v>
      </c>
      <c r="K476" s="8">
        <v>2352.5</v>
      </c>
      <c r="L476" s="8">
        <v>1678</v>
      </c>
      <c r="M476" s="8">
        <v>4566.2</v>
      </c>
      <c r="N476" s="8">
        <v>3873</v>
      </c>
      <c r="O476" s="8">
        <v>30779.4</v>
      </c>
      <c r="P476" s="8"/>
      <c r="Q476" s="8"/>
      <c r="R476" s="8"/>
      <c r="S476" s="8"/>
      <c r="T476" s="8"/>
      <c r="U476" s="8"/>
      <c r="V476" s="8"/>
    </row>
    <row r="477" spans="1:22" x14ac:dyDescent="0.15">
      <c r="A477" s="9">
        <v>44228</v>
      </c>
      <c r="B477" s="8">
        <v>11378.5</v>
      </c>
      <c r="C477" s="8">
        <v>4879.3</v>
      </c>
      <c r="D477" s="8">
        <v>1872.8</v>
      </c>
      <c r="E477" s="8">
        <v>1197.7</v>
      </c>
      <c r="F477" s="8">
        <v>4008.5</v>
      </c>
      <c r="G477" s="8">
        <v>3440.4</v>
      </c>
      <c r="H477" s="8">
        <v>26777.200000000001</v>
      </c>
      <c r="I477" s="8">
        <v>12395.4</v>
      </c>
      <c r="J477" s="8">
        <v>5533.2</v>
      </c>
      <c r="K477" s="8">
        <v>2383.6999999999998</v>
      </c>
      <c r="L477" s="8">
        <v>1672.8</v>
      </c>
      <c r="M477" s="8">
        <v>4546.8</v>
      </c>
      <c r="N477" s="8">
        <v>3866</v>
      </c>
      <c r="O477" s="8">
        <v>30397.9</v>
      </c>
      <c r="P477" s="8"/>
      <c r="Q477" s="8"/>
      <c r="R477" s="8"/>
      <c r="S477" s="8"/>
      <c r="T477" s="8"/>
      <c r="U477" s="8"/>
      <c r="V477" s="8"/>
    </row>
    <row r="478" spans="1:22" x14ac:dyDescent="0.15">
      <c r="A478" s="9">
        <v>44256</v>
      </c>
      <c r="B478" s="8">
        <v>12565.1</v>
      </c>
      <c r="C478" s="8">
        <v>5337.3</v>
      </c>
      <c r="D478" s="8">
        <v>2297.3000000000002</v>
      </c>
      <c r="E478" s="8">
        <v>1600.2</v>
      </c>
      <c r="F478" s="8">
        <v>4491.2</v>
      </c>
      <c r="G478" s="8">
        <v>4044.9</v>
      </c>
      <c r="H478" s="8">
        <v>30336</v>
      </c>
      <c r="I478" s="8">
        <v>12253.1</v>
      </c>
      <c r="J478" s="8">
        <v>5510.2</v>
      </c>
      <c r="K478" s="8">
        <v>2482.6999999999998</v>
      </c>
      <c r="L478" s="8">
        <v>1786.1</v>
      </c>
      <c r="M478" s="8">
        <v>4574.8999999999996</v>
      </c>
      <c r="N478" s="8">
        <v>4002.2</v>
      </c>
      <c r="O478" s="8">
        <v>30609.1</v>
      </c>
      <c r="P478" s="8"/>
      <c r="Q478" s="8"/>
      <c r="R478" s="8"/>
      <c r="S478" s="8"/>
      <c r="T478" s="8"/>
      <c r="U478" s="8"/>
      <c r="V478" s="8"/>
    </row>
    <row r="479" spans="1:22" x14ac:dyDescent="0.15">
      <c r="A479" s="9">
        <v>44287</v>
      </c>
      <c r="B479" s="8">
        <v>12001.6</v>
      </c>
      <c r="C479" s="8">
        <v>5011.2</v>
      </c>
      <c r="D479" s="8">
        <v>2387.6</v>
      </c>
      <c r="E479" s="8">
        <v>1596.8</v>
      </c>
      <c r="F479" s="8">
        <v>4252.1000000000004</v>
      </c>
      <c r="G479" s="8">
        <v>4017.5</v>
      </c>
      <c r="H479" s="8">
        <v>29266.9</v>
      </c>
      <c r="I479" s="8">
        <v>12369.5</v>
      </c>
      <c r="J479" s="8">
        <v>5615.5</v>
      </c>
      <c r="K479" s="8">
        <v>2528.4</v>
      </c>
      <c r="L479" s="8">
        <v>1713.6</v>
      </c>
      <c r="M479" s="8">
        <v>4642.2</v>
      </c>
      <c r="N479" s="8">
        <v>4103.1000000000004</v>
      </c>
      <c r="O479" s="8">
        <v>30972.400000000001</v>
      </c>
      <c r="P479" s="8"/>
      <c r="Q479" s="8"/>
      <c r="R479" s="8"/>
      <c r="S479" s="8"/>
      <c r="T479" s="8"/>
      <c r="U479" s="8"/>
      <c r="V479" s="8"/>
    </row>
    <row r="480" spans="1:22" x14ac:dyDescent="0.15">
      <c r="A480" s="9">
        <v>44317</v>
      </c>
      <c r="B480" s="8">
        <v>12334.8</v>
      </c>
      <c r="C480" s="8">
        <v>5249.2</v>
      </c>
      <c r="D480" s="8">
        <v>2519.6</v>
      </c>
      <c r="E480" s="8">
        <v>1602.1</v>
      </c>
      <c r="F480" s="8">
        <v>4468</v>
      </c>
      <c r="G480" s="8">
        <v>4043.1</v>
      </c>
      <c r="H480" s="8">
        <v>30216.799999999999</v>
      </c>
      <c r="I480" s="8">
        <v>12479.2</v>
      </c>
      <c r="J480" s="8">
        <v>5527.7</v>
      </c>
      <c r="K480" s="8">
        <v>2531.9</v>
      </c>
      <c r="L480" s="8">
        <v>1673</v>
      </c>
      <c r="M480" s="8">
        <v>4654.2</v>
      </c>
      <c r="N480" s="8">
        <v>4104.1000000000004</v>
      </c>
      <c r="O480" s="8">
        <v>30970.1</v>
      </c>
      <c r="P480" s="8"/>
      <c r="Q480" s="8"/>
      <c r="R480" s="8"/>
      <c r="S480" s="8"/>
      <c r="T480" s="8"/>
      <c r="U480" s="8"/>
      <c r="V480" s="8"/>
    </row>
    <row r="481" spans="1:22" x14ac:dyDescent="0.15">
      <c r="A481" s="9">
        <v>44348</v>
      </c>
      <c r="B481" s="8">
        <v>11949.2</v>
      </c>
      <c r="C481" s="8">
        <v>5551.9</v>
      </c>
      <c r="D481" s="8">
        <v>2265.1999999999998</v>
      </c>
      <c r="E481" s="8">
        <v>1560.2</v>
      </c>
      <c r="F481" s="8">
        <v>4410.3999999999996</v>
      </c>
      <c r="G481" s="8">
        <v>3696.9</v>
      </c>
      <c r="H481" s="8">
        <v>29433.8</v>
      </c>
      <c r="I481" s="8">
        <v>12693.7</v>
      </c>
      <c r="J481" s="8">
        <v>5494</v>
      </c>
      <c r="K481" s="8">
        <v>2302.9</v>
      </c>
      <c r="L481" s="8">
        <v>1566.2</v>
      </c>
      <c r="M481" s="8">
        <v>4625.8</v>
      </c>
      <c r="N481" s="8">
        <v>3856.8</v>
      </c>
      <c r="O481" s="8">
        <v>30539.4</v>
      </c>
      <c r="P481" s="8"/>
      <c r="Q481" s="8"/>
      <c r="R481" s="8"/>
      <c r="S481" s="8"/>
      <c r="T481" s="8"/>
      <c r="U481" s="8"/>
      <c r="V481" s="8"/>
    </row>
    <row r="482" spans="1:22" x14ac:dyDescent="0.15">
      <c r="A482" s="9">
        <v>44378</v>
      </c>
      <c r="B482" s="8">
        <v>12811.6</v>
      </c>
      <c r="C482" s="8">
        <v>5199.7</v>
      </c>
      <c r="D482" s="8">
        <v>1841.5</v>
      </c>
      <c r="E482" s="8">
        <v>1313.9</v>
      </c>
      <c r="F482" s="8">
        <v>4558.3</v>
      </c>
      <c r="G482" s="8">
        <v>3447.7</v>
      </c>
      <c r="H482" s="8">
        <v>29172.7</v>
      </c>
      <c r="I482" s="8">
        <v>12919.6</v>
      </c>
      <c r="J482" s="8">
        <v>5420.9</v>
      </c>
      <c r="K482" s="8">
        <v>1975.1</v>
      </c>
      <c r="L482" s="8">
        <v>1395.6</v>
      </c>
      <c r="M482" s="8">
        <v>4671.2</v>
      </c>
      <c r="N482" s="8">
        <v>3400</v>
      </c>
      <c r="O482" s="8">
        <v>29782.5</v>
      </c>
      <c r="P482" s="8"/>
      <c r="Q482" s="8"/>
      <c r="R482" s="8"/>
      <c r="S482" s="8"/>
      <c r="T482" s="8"/>
      <c r="U482" s="8"/>
      <c r="V482" s="8"/>
    </row>
    <row r="483" spans="1:22" x14ac:dyDescent="0.15">
      <c r="A483" s="9">
        <v>44409</v>
      </c>
      <c r="B483" s="8">
        <v>12994.5</v>
      </c>
      <c r="C483" s="8">
        <v>5057.1000000000004</v>
      </c>
      <c r="D483" s="8">
        <v>1471.6</v>
      </c>
      <c r="E483" s="8">
        <v>1032.5</v>
      </c>
      <c r="F483" s="8">
        <v>4593.1000000000004</v>
      </c>
      <c r="G483" s="8">
        <v>3219.9</v>
      </c>
      <c r="H483" s="8">
        <v>28368.7</v>
      </c>
      <c r="I483" s="8">
        <v>13217.7</v>
      </c>
      <c r="J483" s="8">
        <v>5241.7</v>
      </c>
      <c r="K483" s="8">
        <v>1630.7</v>
      </c>
      <c r="L483" s="8">
        <v>1221.2</v>
      </c>
      <c r="M483" s="8">
        <v>4716.1000000000004</v>
      </c>
      <c r="N483" s="8">
        <v>3178.4</v>
      </c>
      <c r="O483" s="8">
        <v>29205.7</v>
      </c>
      <c r="P483" s="8"/>
      <c r="Q483" s="8"/>
      <c r="R483" s="8"/>
      <c r="S483" s="8"/>
      <c r="T483" s="8"/>
      <c r="U483" s="8"/>
      <c r="V483" s="8"/>
    </row>
    <row r="484" spans="1:22" x14ac:dyDescent="0.15">
      <c r="A484" s="9">
        <v>44440</v>
      </c>
      <c r="B484" s="8">
        <v>12768.9</v>
      </c>
      <c r="C484" s="8">
        <v>5330.7</v>
      </c>
      <c r="D484" s="8">
        <v>1616.5</v>
      </c>
      <c r="E484" s="8">
        <v>1137.5999999999999</v>
      </c>
      <c r="F484" s="8">
        <v>4678.1000000000004</v>
      </c>
      <c r="G484" s="8">
        <v>3369.8</v>
      </c>
      <c r="H484" s="8">
        <v>28901.7</v>
      </c>
      <c r="I484" s="8">
        <v>13085.9</v>
      </c>
      <c r="J484" s="8">
        <v>5461.2</v>
      </c>
      <c r="K484" s="8">
        <v>1755.3</v>
      </c>
      <c r="L484" s="8">
        <v>1234.5</v>
      </c>
      <c r="M484" s="8">
        <v>4818.3999999999996</v>
      </c>
      <c r="N484" s="8">
        <v>3337.3</v>
      </c>
      <c r="O484" s="8">
        <v>29692.5</v>
      </c>
      <c r="P484" s="8"/>
      <c r="Q484" s="8"/>
      <c r="R484" s="8"/>
      <c r="S484" s="8"/>
      <c r="T484" s="8"/>
      <c r="U484" s="8"/>
      <c r="V484" s="8"/>
    </row>
    <row r="485" spans="1:22" x14ac:dyDescent="0.15">
      <c r="A485" s="9">
        <v>44470</v>
      </c>
      <c r="B485" s="8">
        <v>13259</v>
      </c>
      <c r="C485" s="8">
        <v>5907.5</v>
      </c>
      <c r="D485" s="8">
        <v>2173.8000000000002</v>
      </c>
      <c r="E485" s="8">
        <v>1493.4</v>
      </c>
      <c r="F485" s="8">
        <v>4959.2</v>
      </c>
      <c r="G485" s="8">
        <v>3916.1</v>
      </c>
      <c r="H485" s="8">
        <v>31709.1</v>
      </c>
      <c r="I485" s="8">
        <v>13011.5</v>
      </c>
      <c r="J485" s="8">
        <v>5721.2</v>
      </c>
      <c r="K485" s="8">
        <v>2224</v>
      </c>
      <c r="L485" s="8">
        <v>1525.4</v>
      </c>
      <c r="M485" s="8">
        <v>4937.5</v>
      </c>
      <c r="N485" s="8">
        <v>3775.8</v>
      </c>
      <c r="O485" s="8">
        <v>31195.4</v>
      </c>
      <c r="P485" s="8"/>
      <c r="Q485" s="8"/>
      <c r="R485" s="8"/>
      <c r="S485" s="8"/>
      <c r="T485" s="8"/>
      <c r="U485" s="8"/>
      <c r="V485" s="8"/>
    </row>
    <row r="486" spans="1:22" x14ac:dyDescent="0.15">
      <c r="A486" s="9">
        <v>44501</v>
      </c>
      <c r="B486" s="8">
        <v>12722.8</v>
      </c>
      <c r="C486" s="8">
        <v>7018.2</v>
      </c>
      <c r="D486" s="8">
        <v>3241</v>
      </c>
      <c r="E486" s="8">
        <v>2106.1999999999998</v>
      </c>
      <c r="F486" s="8">
        <v>5860.2</v>
      </c>
      <c r="G486" s="8">
        <v>4222.7</v>
      </c>
      <c r="H486" s="8">
        <v>35171.1</v>
      </c>
      <c r="I486" s="8">
        <v>12643.1</v>
      </c>
      <c r="J486" s="8">
        <v>6263.3</v>
      </c>
      <c r="K486" s="8">
        <v>2884.3</v>
      </c>
      <c r="L486" s="8">
        <v>1800.2</v>
      </c>
      <c r="M486" s="8">
        <v>5162.7</v>
      </c>
      <c r="N486" s="8">
        <v>4116.3</v>
      </c>
      <c r="O486" s="8">
        <v>32870.1</v>
      </c>
      <c r="P486" s="8"/>
      <c r="Q486" s="8"/>
      <c r="R486" s="8"/>
      <c r="S486" s="8"/>
      <c r="T486" s="8"/>
      <c r="U486" s="8"/>
      <c r="V486" s="8"/>
    </row>
    <row r="487" spans="1:22" x14ac:dyDescent="0.15">
      <c r="A487" s="9">
        <v>44531</v>
      </c>
      <c r="B487" s="8">
        <v>15255.2</v>
      </c>
      <c r="C487" s="8">
        <v>7442.1</v>
      </c>
      <c r="D487" s="8">
        <v>4136.7</v>
      </c>
      <c r="E487" s="8">
        <v>2765.5</v>
      </c>
      <c r="F487" s="8">
        <v>6683.3</v>
      </c>
      <c r="G487" s="8">
        <v>4580.5</v>
      </c>
      <c r="H487" s="8">
        <v>40863.300000000003</v>
      </c>
      <c r="I487" s="8">
        <v>13137.4</v>
      </c>
      <c r="J487" s="8">
        <v>5899.3</v>
      </c>
      <c r="K487" s="8">
        <v>2632.7</v>
      </c>
      <c r="L487" s="8">
        <v>1582.7</v>
      </c>
      <c r="M487" s="8">
        <v>5135.8</v>
      </c>
      <c r="N487" s="8">
        <v>4159.3</v>
      </c>
      <c r="O487" s="8">
        <v>32547.200000000001</v>
      </c>
      <c r="P487" s="8"/>
      <c r="Q487" s="8"/>
      <c r="R487" s="8"/>
      <c r="S487" s="8"/>
      <c r="T487" s="8"/>
      <c r="U487" s="8"/>
      <c r="V487" s="8"/>
    </row>
    <row r="488" spans="1:22" x14ac:dyDescent="0.15">
      <c r="A488" s="9">
        <v>44562</v>
      </c>
      <c r="B488" s="8">
        <v>13372</v>
      </c>
      <c r="C488" s="8">
        <v>5722.6</v>
      </c>
      <c r="D488" s="8">
        <v>2371.1</v>
      </c>
      <c r="E488" s="8">
        <v>1446.9</v>
      </c>
      <c r="F488" s="8">
        <v>4952.1000000000004</v>
      </c>
      <c r="G488" s="8">
        <v>3997.3</v>
      </c>
      <c r="H488" s="8">
        <v>31862</v>
      </c>
      <c r="I488" s="8">
        <v>13330</v>
      </c>
      <c r="J488" s="8">
        <v>5916.4</v>
      </c>
      <c r="K488" s="8">
        <v>2540</v>
      </c>
      <c r="L488" s="8">
        <v>1629.3</v>
      </c>
      <c r="M488" s="8">
        <v>5267.1</v>
      </c>
      <c r="N488" s="8">
        <v>4143.7</v>
      </c>
      <c r="O488" s="8">
        <v>32826.400000000001</v>
      </c>
      <c r="P488" s="8"/>
      <c r="Q488" s="8"/>
      <c r="R488" s="8"/>
      <c r="S488" s="8"/>
      <c r="T488" s="8"/>
      <c r="U488" s="8"/>
      <c r="V488" s="8"/>
    </row>
    <row r="489" spans="1:22" x14ac:dyDescent="0.15">
      <c r="A489" s="9">
        <v>44593</v>
      </c>
      <c r="B489" s="8">
        <v>11886</v>
      </c>
      <c r="C489" s="8">
        <v>5279.2</v>
      </c>
      <c r="D489" s="8">
        <v>2205.5</v>
      </c>
      <c r="E489" s="8">
        <v>1259.5999999999999</v>
      </c>
      <c r="F489" s="8">
        <v>4583.2</v>
      </c>
      <c r="G489" s="8">
        <v>3995.3</v>
      </c>
      <c r="H489" s="8">
        <v>29208.799999999999</v>
      </c>
      <c r="I489" s="8">
        <v>12937</v>
      </c>
      <c r="J489" s="8">
        <v>5977.6</v>
      </c>
      <c r="K489" s="8">
        <v>2801.3</v>
      </c>
      <c r="L489" s="8">
        <v>1752.4</v>
      </c>
      <c r="M489" s="8">
        <v>5201.8</v>
      </c>
      <c r="N489" s="8">
        <v>4483.7</v>
      </c>
      <c r="O489" s="8">
        <v>33153.9</v>
      </c>
      <c r="P489" s="8"/>
      <c r="Q489" s="8"/>
      <c r="R489" s="8"/>
      <c r="S489" s="8"/>
      <c r="T489" s="8"/>
      <c r="U489" s="8"/>
      <c r="V489" s="8"/>
    </row>
    <row r="490" spans="1:22" x14ac:dyDescent="0.15">
      <c r="A490" s="9">
        <v>44621</v>
      </c>
      <c r="B490" s="8">
        <v>13090</v>
      </c>
      <c r="C490" s="8">
        <v>5875.3</v>
      </c>
      <c r="D490" s="8">
        <v>2608.6999999999998</v>
      </c>
      <c r="E490" s="8">
        <v>1599.3</v>
      </c>
      <c r="F490" s="8">
        <v>5103.3999999999996</v>
      </c>
      <c r="G490" s="8">
        <v>4554.2</v>
      </c>
      <c r="H490" s="8">
        <v>32830.9</v>
      </c>
      <c r="I490" s="8">
        <v>12951</v>
      </c>
      <c r="J490" s="8">
        <v>6149.2</v>
      </c>
      <c r="K490" s="8">
        <v>2838</v>
      </c>
      <c r="L490" s="8">
        <v>1801.2</v>
      </c>
      <c r="M490" s="8">
        <v>5284.2</v>
      </c>
      <c r="N490" s="8">
        <v>4539.3999999999996</v>
      </c>
      <c r="O490" s="8">
        <v>33563.1</v>
      </c>
      <c r="P490" s="8"/>
      <c r="Q490" s="8"/>
      <c r="R490" s="8"/>
      <c r="S490" s="8"/>
      <c r="T490" s="8"/>
      <c r="U490" s="8"/>
      <c r="V490" s="8"/>
    </row>
    <row r="491" spans="1:22" x14ac:dyDescent="0.15">
      <c r="A491" s="9">
        <v>44652</v>
      </c>
      <c r="B491" s="8">
        <v>13070.3</v>
      </c>
      <c r="C491" s="8">
        <v>5463.1</v>
      </c>
      <c r="D491" s="8">
        <v>2767.8</v>
      </c>
      <c r="E491" s="8">
        <v>1725</v>
      </c>
      <c r="F491" s="8">
        <v>4898.5</v>
      </c>
      <c r="G491" s="8">
        <v>4610.3999999999996</v>
      </c>
      <c r="H491" s="8">
        <v>32535.1</v>
      </c>
      <c r="I491" s="8">
        <v>13155.1</v>
      </c>
      <c r="J491" s="8">
        <v>6048.1</v>
      </c>
      <c r="K491" s="8">
        <v>2890.8</v>
      </c>
      <c r="L491" s="8">
        <v>1800.1</v>
      </c>
      <c r="M491" s="8">
        <v>5316.7</v>
      </c>
      <c r="N491" s="8">
        <v>4685.2</v>
      </c>
      <c r="O491" s="8">
        <v>33895.9</v>
      </c>
      <c r="P491" s="8"/>
      <c r="Q491" s="8"/>
      <c r="R491" s="8"/>
      <c r="S491" s="8"/>
      <c r="T491" s="8"/>
      <c r="U491" s="8"/>
      <c r="V491" s="8"/>
    </row>
    <row r="492" spans="1:22" x14ac:dyDescent="0.15">
      <c r="A492" s="9">
        <v>44682</v>
      </c>
      <c r="B492" s="8">
        <v>12932.2</v>
      </c>
      <c r="C492" s="8">
        <v>5769</v>
      </c>
      <c r="D492" s="8">
        <v>2873.4</v>
      </c>
      <c r="E492" s="8">
        <v>1767.6</v>
      </c>
      <c r="F492" s="8">
        <v>5195.8999999999996</v>
      </c>
      <c r="G492" s="8">
        <v>4748.8999999999996</v>
      </c>
      <c r="H492" s="8">
        <v>33287.1</v>
      </c>
      <c r="I492" s="8">
        <v>13178.3</v>
      </c>
      <c r="J492" s="8">
        <v>6011.3</v>
      </c>
      <c r="K492" s="8">
        <v>2879.4</v>
      </c>
      <c r="L492" s="8">
        <v>1843.7</v>
      </c>
      <c r="M492" s="8">
        <v>5352.6</v>
      </c>
      <c r="N492" s="8">
        <v>4757.3999999999996</v>
      </c>
      <c r="O492" s="8">
        <v>34022.6</v>
      </c>
      <c r="P492" s="8"/>
      <c r="Q492" s="8"/>
      <c r="R492" s="8"/>
      <c r="S492" s="8"/>
      <c r="T492" s="8"/>
      <c r="U492" s="8"/>
      <c r="V492" s="8"/>
    </row>
    <row r="493" spans="1:22" x14ac:dyDescent="0.15">
      <c r="A493" s="9">
        <v>44713</v>
      </c>
      <c r="B493" s="8">
        <v>12499.6</v>
      </c>
      <c r="C493" s="8">
        <v>6010.8</v>
      </c>
      <c r="D493" s="8">
        <v>2868.6</v>
      </c>
      <c r="E493" s="8">
        <v>1817.9</v>
      </c>
      <c r="F493" s="8">
        <v>5166.2</v>
      </c>
      <c r="G493" s="8">
        <v>4672.5</v>
      </c>
      <c r="H493" s="8">
        <v>33035.5</v>
      </c>
      <c r="I493" s="8">
        <v>13250.7</v>
      </c>
      <c r="J493" s="8">
        <v>6009.1</v>
      </c>
      <c r="K493" s="8">
        <v>2942.7</v>
      </c>
      <c r="L493" s="8">
        <v>1851.2</v>
      </c>
      <c r="M493" s="8">
        <v>5410.3</v>
      </c>
      <c r="N493" s="8">
        <v>4902.1000000000004</v>
      </c>
      <c r="O493" s="8">
        <v>34366.199999999997</v>
      </c>
      <c r="P493" s="8"/>
      <c r="Q493" s="8"/>
      <c r="R493" s="8"/>
      <c r="S493" s="8"/>
      <c r="T493" s="8"/>
      <c r="U493" s="8"/>
      <c r="V493" s="8"/>
    </row>
    <row r="494" spans="1:22" x14ac:dyDescent="0.15">
      <c r="A494" s="9">
        <v>44743</v>
      </c>
      <c r="B494" s="8">
        <v>13205.7</v>
      </c>
      <c r="C494" s="8">
        <v>5750.9</v>
      </c>
      <c r="D494" s="8">
        <v>2775.1</v>
      </c>
      <c r="E494" s="8">
        <v>1760.3</v>
      </c>
      <c r="F494" s="8">
        <v>5295.1</v>
      </c>
      <c r="G494" s="8">
        <v>5013</v>
      </c>
      <c r="H494" s="8">
        <v>33800</v>
      </c>
      <c r="I494" s="8">
        <v>13343.2</v>
      </c>
      <c r="J494" s="8">
        <v>5998.5</v>
      </c>
      <c r="K494" s="8">
        <v>2974.3</v>
      </c>
      <c r="L494" s="8">
        <v>1870.1</v>
      </c>
      <c r="M494" s="8">
        <v>5486.1</v>
      </c>
      <c r="N494" s="8">
        <v>4954.8999999999996</v>
      </c>
      <c r="O494" s="8">
        <v>34627.199999999997</v>
      </c>
      <c r="P494" s="8">
        <v>13355.8</v>
      </c>
      <c r="Q494" s="8">
        <v>6034.5</v>
      </c>
      <c r="R494" s="8">
        <v>2956.4</v>
      </c>
      <c r="S494" s="8">
        <v>1872.2</v>
      </c>
      <c r="T494" s="8">
        <v>5412.9</v>
      </c>
      <c r="U494" s="8">
        <v>4948.3999999999996</v>
      </c>
      <c r="V494" s="8">
        <v>34603</v>
      </c>
    </row>
    <row r="495" spans="1:22" x14ac:dyDescent="0.15">
      <c r="A495" s="9">
        <v>44774</v>
      </c>
      <c r="B495" s="8">
        <v>13310.4</v>
      </c>
      <c r="C495" s="8">
        <v>5900.1</v>
      </c>
      <c r="D495" s="8">
        <v>2687.7</v>
      </c>
      <c r="E495" s="8">
        <v>1618</v>
      </c>
      <c r="F495" s="8">
        <v>5282.3</v>
      </c>
      <c r="G495" s="8">
        <v>5079</v>
      </c>
      <c r="H495" s="8">
        <v>33877.5</v>
      </c>
      <c r="I495" s="8">
        <v>13463</v>
      </c>
      <c r="J495" s="8">
        <v>6103.4</v>
      </c>
      <c r="K495" s="8">
        <v>2953.4</v>
      </c>
      <c r="L495" s="8">
        <v>1893.2</v>
      </c>
      <c r="M495" s="8">
        <v>5374.7</v>
      </c>
      <c r="N495" s="8">
        <v>5011.5</v>
      </c>
      <c r="O495" s="8">
        <v>34799.199999999997</v>
      </c>
      <c r="P495" s="8">
        <v>13463</v>
      </c>
      <c r="Q495" s="8">
        <v>6039.3</v>
      </c>
      <c r="R495" s="8">
        <v>2972.5</v>
      </c>
      <c r="S495" s="8">
        <v>1884.3</v>
      </c>
      <c r="T495" s="8">
        <v>5413.5</v>
      </c>
      <c r="U495" s="8">
        <v>5018.8</v>
      </c>
      <c r="V495" s="8">
        <v>34807</v>
      </c>
    </row>
    <row r="496" spans="1:22" x14ac:dyDescent="0.15">
      <c r="A496" s="9">
        <v>44805</v>
      </c>
      <c r="B496" s="8">
        <v>13328.8</v>
      </c>
      <c r="C496" s="8">
        <v>5968.8</v>
      </c>
      <c r="D496" s="8">
        <v>2773</v>
      </c>
      <c r="E496" s="8">
        <v>1744.1</v>
      </c>
      <c r="F496" s="8">
        <v>5256.2</v>
      </c>
      <c r="G496" s="8">
        <v>5205.8999999999996</v>
      </c>
      <c r="H496" s="8">
        <v>34276.800000000003</v>
      </c>
      <c r="I496" s="8">
        <v>13579.5</v>
      </c>
      <c r="J496" s="8">
        <v>6049.7</v>
      </c>
      <c r="K496" s="8">
        <v>2988.5</v>
      </c>
      <c r="L496" s="8">
        <v>1887.9</v>
      </c>
      <c r="M496" s="8">
        <v>5371.4</v>
      </c>
      <c r="N496" s="8">
        <v>5081.2</v>
      </c>
      <c r="O496" s="8">
        <v>34958.199999999997</v>
      </c>
      <c r="P496" s="8">
        <v>13577.4</v>
      </c>
      <c r="Q496" s="8">
        <v>6040.7</v>
      </c>
      <c r="R496" s="8">
        <v>2978.5</v>
      </c>
      <c r="S496" s="8">
        <v>1885.3</v>
      </c>
      <c r="T496" s="8">
        <v>5404</v>
      </c>
      <c r="U496" s="8">
        <v>5074.8</v>
      </c>
      <c r="V496" s="8">
        <v>34974.699999999997</v>
      </c>
    </row>
    <row r="497" spans="1:22" x14ac:dyDescent="0.15">
      <c r="A497" s="9">
        <v>44835</v>
      </c>
      <c r="B497" s="8">
        <v>13930.9</v>
      </c>
      <c r="C497" s="8">
        <v>6179.5</v>
      </c>
      <c r="D497" s="8">
        <v>2872.5</v>
      </c>
      <c r="E497" s="8">
        <v>1830.9</v>
      </c>
      <c r="F497" s="8">
        <v>5413.9</v>
      </c>
      <c r="G497" s="8">
        <v>5268.4</v>
      </c>
      <c r="H497" s="8">
        <v>35496.199999999997</v>
      </c>
      <c r="I497" s="8">
        <v>13685.9</v>
      </c>
      <c r="J497" s="8">
        <v>6045.4</v>
      </c>
      <c r="K497" s="8">
        <v>2983.1</v>
      </c>
      <c r="L497" s="8">
        <v>1895.8</v>
      </c>
      <c r="M497" s="8">
        <v>5403.4</v>
      </c>
      <c r="N497" s="8">
        <v>5130.1000000000004</v>
      </c>
      <c r="O497" s="8">
        <v>35143.599999999999</v>
      </c>
      <c r="P497" s="8">
        <v>13696.8</v>
      </c>
      <c r="Q497" s="8">
        <v>6027.9</v>
      </c>
      <c r="R497" s="8">
        <v>2976.6</v>
      </c>
      <c r="S497" s="8">
        <v>1879.9</v>
      </c>
      <c r="T497" s="8">
        <v>5391.3</v>
      </c>
      <c r="U497" s="8">
        <v>5122</v>
      </c>
      <c r="V497" s="8">
        <v>35104</v>
      </c>
    </row>
    <row r="498" spans="1:22" x14ac:dyDescent="0.15">
      <c r="A498" s="9">
        <v>44866</v>
      </c>
      <c r="B498" s="8">
        <v>13839.2</v>
      </c>
      <c r="C498" s="8">
        <v>6897.5</v>
      </c>
      <c r="D498" s="8">
        <v>3462.8</v>
      </c>
      <c r="E498" s="8">
        <v>2292.6</v>
      </c>
      <c r="F498" s="8">
        <v>6113.2</v>
      </c>
      <c r="G498" s="8">
        <v>5261.5</v>
      </c>
      <c r="H498" s="8">
        <v>37866.800000000003</v>
      </c>
      <c r="I498" s="8">
        <v>13734.5</v>
      </c>
      <c r="J498" s="8">
        <v>6118.5</v>
      </c>
      <c r="K498" s="8">
        <v>3019.2</v>
      </c>
      <c r="L498" s="8">
        <v>1908.3</v>
      </c>
      <c r="M498" s="8">
        <v>5403.4</v>
      </c>
      <c r="N498" s="8">
        <v>5128.2</v>
      </c>
      <c r="O498" s="8">
        <v>35312.1</v>
      </c>
      <c r="P498" s="8">
        <v>13811.6</v>
      </c>
      <c r="Q498" s="8">
        <v>5993.2</v>
      </c>
      <c r="R498" s="8">
        <v>2970.2</v>
      </c>
      <c r="S498" s="8">
        <v>1872.6</v>
      </c>
      <c r="T498" s="8">
        <v>5378.1</v>
      </c>
      <c r="U498" s="8">
        <v>5164.3</v>
      </c>
      <c r="V498" s="8">
        <v>35194.199999999997</v>
      </c>
    </row>
    <row r="499" spans="1:22" x14ac:dyDescent="0.15">
      <c r="A499" s="9">
        <v>44896</v>
      </c>
      <c r="B499" s="8">
        <v>16471.7</v>
      </c>
      <c r="C499" s="8">
        <v>7348.2</v>
      </c>
      <c r="D499" s="8">
        <v>4490.6000000000004</v>
      </c>
      <c r="E499" s="8">
        <v>3088.2</v>
      </c>
      <c r="F499" s="8">
        <v>6899.8</v>
      </c>
      <c r="G499" s="8">
        <v>5747.8</v>
      </c>
      <c r="H499" s="8">
        <v>44046.3</v>
      </c>
      <c r="I499" s="8">
        <v>14030.3</v>
      </c>
      <c r="J499" s="8">
        <v>5835.9</v>
      </c>
      <c r="K499" s="8">
        <v>2873.7</v>
      </c>
      <c r="L499" s="8">
        <v>1772.8</v>
      </c>
      <c r="M499" s="8">
        <v>5333.8</v>
      </c>
      <c r="N499" s="8">
        <v>5223.6000000000004</v>
      </c>
      <c r="O499" s="8">
        <v>35070.1</v>
      </c>
      <c r="P499" s="8">
        <v>13906.1</v>
      </c>
      <c r="Q499" s="8">
        <v>5942</v>
      </c>
      <c r="R499" s="8">
        <v>2965.1</v>
      </c>
      <c r="S499" s="8">
        <v>1870.6</v>
      </c>
      <c r="T499" s="8">
        <v>5370.4</v>
      </c>
      <c r="U499" s="8">
        <v>5203.5</v>
      </c>
      <c r="V499" s="8">
        <v>35257.800000000003</v>
      </c>
    </row>
    <row r="500" spans="1:22" x14ac:dyDescent="0.15">
      <c r="A500" s="9">
        <v>44927</v>
      </c>
      <c r="B500" s="8">
        <v>13919.6</v>
      </c>
      <c r="C500" s="8">
        <v>5724.3</v>
      </c>
      <c r="D500" s="8">
        <v>2794.1</v>
      </c>
      <c r="E500" s="8">
        <v>1687.8</v>
      </c>
      <c r="F500" s="8">
        <v>5112.3999999999996</v>
      </c>
      <c r="G500" s="8">
        <v>5100.2</v>
      </c>
      <c r="H500" s="8">
        <v>34338.400000000001</v>
      </c>
      <c r="I500" s="8">
        <v>13982.3</v>
      </c>
      <c r="J500" s="8">
        <v>5859</v>
      </c>
      <c r="K500" s="8">
        <v>2993.8</v>
      </c>
      <c r="L500" s="8">
        <v>1901.5</v>
      </c>
      <c r="M500" s="8">
        <v>5384.3</v>
      </c>
      <c r="N500" s="8">
        <v>5246.2</v>
      </c>
      <c r="O500" s="8">
        <v>35367.1</v>
      </c>
      <c r="P500" s="8">
        <v>13972.2</v>
      </c>
      <c r="Q500" s="8">
        <v>5884.8</v>
      </c>
      <c r="R500" s="8">
        <v>2964.7</v>
      </c>
      <c r="S500" s="8">
        <v>1874.3</v>
      </c>
      <c r="T500" s="8">
        <v>5369.7</v>
      </c>
      <c r="U500" s="8">
        <v>5239.3</v>
      </c>
      <c r="V500" s="8">
        <v>35303.1</v>
      </c>
    </row>
    <row r="501" spans="1:22" x14ac:dyDescent="0.15">
      <c r="A501" s="9">
        <v>44958</v>
      </c>
      <c r="B501" s="8">
        <v>12838.4</v>
      </c>
      <c r="C501" s="8">
        <v>5160.8</v>
      </c>
      <c r="D501" s="8">
        <v>2339.8000000000002</v>
      </c>
      <c r="E501" s="8">
        <v>1356.7</v>
      </c>
      <c r="F501" s="8">
        <v>4728.3</v>
      </c>
      <c r="G501" s="8">
        <v>4680.6000000000004</v>
      </c>
      <c r="H501" s="8">
        <v>31104.6</v>
      </c>
      <c r="I501" s="8">
        <v>13978.6</v>
      </c>
      <c r="J501" s="8">
        <v>5843.6</v>
      </c>
      <c r="K501" s="8">
        <v>2966.3</v>
      </c>
      <c r="L501" s="8">
        <v>1882.1</v>
      </c>
      <c r="M501" s="8">
        <v>5369.6</v>
      </c>
      <c r="N501" s="8">
        <v>5252.8</v>
      </c>
      <c r="O501" s="8">
        <v>35292.9</v>
      </c>
      <c r="P501" s="8">
        <v>14007.2</v>
      </c>
      <c r="Q501" s="8">
        <v>5833.3</v>
      </c>
      <c r="R501" s="8">
        <v>2966.9</v>
      </c>
      <c r="S501" s="8">
        <v>1881.2</v>
      </c>
      <c r="T501" s="8">
        <v>5371.4</v>
      </c>
      <c r="U501" s="8">
        <v>5269.4</v>
      </c>
      <c r="V501" s="8">
        <v>35328.1</v>
      </c>
    </row>
    <row r="502" spans="1:22" x14ac:dyDescent="0.15">
      <c r="A502" s="9">
        <v>44986</v>
      </c>
      <c r="B502" s="8">
        <v>14199.2</v>
      </c>
      <c r="C502" s="8">
        <v>5541.5</v>
      </c>
      <c r="D502" s="8">
        <v>2722.9</v>
      </c>
      <c r="E502" s="8">
        <v>1674.2</v>
      </c>
      <c r="F502" s="8">
        <v>5193.6000000000004</v>
      </c>
      <c r="G502" s="8">
        <v>5343.9</v>
      </c>
      <c r="H502" s="8">
        <v>34675.4</v>
      </c>
      <c r="I502" s="8">
        <v>14036.4</v>
      </c>
      <c r="J502" s="8">
        <v>5812.7</v>
      </c>
      <c r="K502" s="8">
        <v>2961.6</v>
      </c>
      <c r="L502" s="8">
        <v>1896.2</v>
      </c>
      <c r="M502" s="8">
        <v>5366</v>
      </c>
      <c r="N502" s="8">
        <v>5317.6</v>
      </c>
      <c r="O502" s="8">
        <v>35390.6</v>
      </c>
      <c r="P502" s="8">
        <v>14014.9</v>
      </c>
      <c r="Q502" s="8">
        <v>5792.9</v>
      </c>
      <c r="R502" s="8">
        <v>2969.5</v>
      </c>
      <c r="S502" s="8">
        <v>1886.2</v>
      </c>
      <c r="T502" s="8">
        <v>5371.7</v>
      </c>
      <c r="U502" s="8">
        <v>5295.7</v>
      </c>
      <c r="V502" s="8">
        <v>35330.9</v>
      </c>
    </row>
    <row r="503" spans="1:22" x14ac:dyDescent="0.15">
      <c r="A503" s="9">
        <v>45017</v>
      </c>
      <c r="B503" s="8">
        <v>13806</v>
      </c>
      <c r="C503" s="8">
        <v>5130.7</v>
      </c>
      <c r="D503" s="8">
        <v>2837.2</v>
      </c>
      <c r="E503" s="8">
        <v>1820.6</v>
      </c>
      <c r="F503" s="8">
        <v>4850.1000000000004</v>
      </c>
      <c r="G503" s="8">
        <v>5157.8999999999996</v>
      </c>
      <c r="H503" s="8">
        <v>33602.6</v>
      </c>
      <c r="I503" s="8">
        <v>14009.6</v>
      </c>
      <c r="J503" s="8">
        <v>5750.6</v>
      </c>
      <c r="K503" s="8">
        <v>3001.3</v>
      </c>
      <c r="L503" s="8">
        <v>1915.5</v>
      </c>
      <c r="M503" s="8">
        <v>5352.5</v>
      </c>
      <c r="N503" s="8">
        <v>5307</v>
      </c>
      <c r="O503" s="8">
        <v>35336.5</v>
      </c>
      <c r="P503" s="8">
        <v>14004</v>
      </c>
      <c r="Q503" s="8">
        <v>5765.9</v>
      </c>
      <c r="R503" s="8">
        <v>2972.8</v>
      </c>
      <c r="S503" s="8">
        <v>1886.6</v>
      </c>
      <c r="T503" s="8">
        <v>5373.6</v>
      </c>
      <c r="U503" s="8">
        <v>5319.9</v>
      </c>
      <c r="V503" s="8">
        <v>35322.800000000003</v>
      </c>
    </row>
    <row r="504" spans="1:22" x14ac:dyDescent="0.15">
      <c r="A504" s="9">
        <v>45047</v>
      </c>
      <c r="B504" s="8">
        <v>13707.4</v>
      </c>
      <c r="C504" s="8">
        <v>5502.7</v>
      </c>
      <c r="D504" s="8">
        <v>3005.5</v>
      </c>
      <c r="E504" s="8">
        <v>1833.5</v>
      </c>
      <c r="F504" s="8">
        <v>5350</v>
      </c>
      <c r="G504" s="8">
        <v>5325.2</v>
      </c>
      <c r="H504" s="8">
        <v>34724.199999999997</v>
      </c>
      <c r="I504" s="8">
        <v>13957.4</v>
      </c>
      <c r="J504" s="8">
        <v>5748.1</v>
      </c>
      <c r="K504" s="8">
        <v>2989.3</v>
      </c>
      <c r="L504" s="8">
        <v>1904.8</v>
      </c>
      <c r="M504" s="8">
        <v>5454.6</v>
      </c>
      <c r="N504" s="8">
        <v>5343.6</v>
      </c>
      <c r="O504" s="8">
        <v>35397.699999999997</v>
      </c>
      <c r="P504" s="8">
        <v>13989.3</v>
      </c>
      <c r="Q504" s="8">
        <v>5744</v>
      </c>
      <c r="R504" s="8">
        <v>2974.2</v>
      </c>
      <c r="S504" s="8">
        <v>1881.3</v>
      </c>
      <c r="T504" s="8">
        <v>5377.2</v>
      </c>
      <c r="U504" s="8">
        <v>5342</v>
      </c>
      <c r="V504" s="8">
        <v>35308</v>
      </c>
    </row>
    <row r="505" spans="1:22" x14ac:dyDescent="0.15">
      <c r="A505" s="9">
        <v>45078</v>
      </c>
      <c r="B505" s="8">
        <v>13266.7</v>
      </c>
      <c r="C505" s="8">
        <v>5824.6</v>
      </c>
      <c r="D505" s="8">
        <v>2876.4</v>
      </c>
      <c r="E505" s="8">
        <v>1777.5</v>
      </c>
      <c r="F505" s="8">
        <v>5145.1000000000004</v>
      </c>
      <c r="G505" s="8">
        <v>5152.1000000000004</v>
      </c>
      <c r="H505" s="8">
        <v>34042.400000000001</v>
      </c>
      <c r="I505" s="8">
        <v>13993.2</v>
      </c>
      <c r="J505" s="8">
        <v>5755.2</v>
      </c>
      <c r="K505" s="8">
        <v>2935.9</v>
      </c>
      <c r="L505" s="8">
        <v>1814.1</v>
      </c>
      <c r="M505" s="8">
        <v>5340.9</v>
      </c>
      <c r="N505" s="8">
        <v>5335.2</v>
      </c>
      <c r="O505" s="8">
        <v>35174.6</v>
      </c>
      <c r="P505" s="8">
        <v>13983.6</v>
      </c>
      <c r="Q505" s="8">
        <v>5736.9</v>
      </c>
      <c r="R505" s="8">
        <v>2976.5</v>
      </c>
      <c r="S505" s="8">
        <v>1876.3</v>
      </c>
      <c r="T505" s="8">
        <v>5383.1</v>
      </c>
      <c r="U505" s="8">
        <v>5361.5</v>
      </c>
      <c r="V505" s="8">
        <v>35317.800000000003</v>
      </c>
    </row>
    <row r="506" spans="1:22" x14ac:dyDescent="0.15">
      <c r="A506" s="9">
        <v>45108</v>
      </c>
      <c r="B506" s="8">
        <v>13796.7</v>
      </c>
      <c r="C506" s="8">
        <v>5432.4</v>
      </c>
      <c r="D506" s="8">
        <v>2729.5</v>
      </c>
      <c r="E506" s="8">
        <v>1740.5</v>
      </c>
      <c r="F506" s="8">
        <v>5165.8</v>
      </c>
      <c r="G506" s="8">
        <v>5398</v>
      </c>
      <c r="H506" s="8">
        <v>34263</v>
      </c>
      <c r="I506" s="8">
        <v>13982.4</v>
      </c>
      <c r="J506" s="8">
        <v>5737.9</v>
      </c>
      <c r="K506" s="8">
        <v>2963.6</v>
      </c>
      <c r="L506" s="8">
        <v>1874</v>
      </c>
      <c r="M506" s="8">
        <v>5355.7</v>
      </c>
      <c r="N506" s="8">
        <v>5386.7</v>
      </c>
      <c r="O506" s="8">
        <v>35300.400000000001</v>
      </c>
      <c r="P506" s="8">
        <v>13994.4</v>
      </c>
      <c r="Q506" s="8">
        <v>5747.6</v>
      </c>
      <c r="R506" s="8">
        <v>2979</v>
      </c>
      <c r="S506" s="8">
        <v>1876.9</v>
      </c>
      <c r="T506" s="8">
        <v>5391.4</v>
      </c>
      <c r="U506" s="8">
        <v>5375</v>
      </c>
      <c r="V506" s="8">
        <v>35364.300000000003</v>
      </c>
    </row>
    <row r="507" spans="1:22" x14ac:dyDescent="0.15">
      <c r="A507" s="9">
        <v>45139</v>
      </c>
      <c r="B507" s="8">
        <v>13857.4</v>
      </c>
      <c r="C507" s="8">
        <v>5518.6</v>
      </c>
      <c r="D507" s="8">
        <v>2732.5</v>
      </c>
      <c r="E507" s="8">
        <v>1629.2</v>
      </c>
      <c r="F507" s="8">
        <v>5307.7</v>
      </c>
      <c r="G507" s="8">
        <v>5494.3</v>
      </c>
      <c r="H507" s="8">
        <v>34539.699999999997</v>
      </c>
      <c r="I507" s="8">
        <v>14000.3</v>
      </c>
      <c r="J507" s="8">
        <v>5706.2</v>
      </c>
      <c r="K507" s="8">
        <v>2990.3</v>
      </c>
      <c r="L507" s="8">
        <v>1879.9</v>
      </c>
      <c r="M507" s="8">
        <v>5409.3</v>
      </c>
      <c r="N507" s="8">
        <v>5410.3</v>
      </c>
      <c r="O507" s="8">
        <v>35396.300000000003</v>
      </c>
      <c r="P507" s="8">
        <v>14021</v>
      </c>
      <c r="Q507" s="8">
        <v>5776.8</v>
      </c>
      <c r="R507" s="8">
        <v>2978.9</v>
      </c>
      <c r="S507" s="8">
        <v>1884.8</v>
      </c>
      <c r="T507" s="8">
        <v>5403.9</v>
      </c>
      <c r="U507" s="8">
        <v>5378.5</v>
      </c>
      <c r="V507" s="8">
        <v>35443.9</v>
      </c>
    </row>
    <row r="508" spans="1:22" x14ac:dyDescent="0.15">
      <c r="A508" s="9">
        <v>45170</v>
      </c>
      <c r="B508" s="8">
        <v>13858.4</v>
      </c>
      <c r="C508" s="8">
        <v>5749.2</v>
      </c>
      <c r="D508" s="8">
        <v>2812.7</v>
      </c>
      <c r="E508" s="8">
        <v>1782.4</v>
      </c>
      <c r="F508" s="8">
        <v>5298</v>
      </c>
      <c r="G508" s="8">
        <v>5481.3</v>
      </c>
      <c r="H508" s="8">
        <v>34981.9</v>
      </c>
      <c r="I508" s="8">
        <v>14044.8</v>
      </c>
      <c r="J508" s="8">
        <v>5816</v>
      </c>
      <c r="K508" s="8">
        <v>3014.6</v>
      </c>
      <c r="L508" s="8">
        <v>1913.6</v>
      </c>
      <c r="M508" s="8">
        <v>5459.7</v>
      </c>
      <c r="N508" s="8">
        <v>5382.6</v>
      </c>
      <c r="O508" s="8">
        <v>35631.199999999997</v>
      </c>
      <c r="P508" s="8">
        <v>14061.3</v>
      </c>
      <c r="Q508" s="8">
        <v>5811.1</v>
      </c>
      <c r="R508" s="8">
        <v>2975.3</v>
      </c>
      <c r="S508" s="8">
        <v>1894.7</v>
      </c>
      <c r="T508" s="8">
        <v>5420.3</v>
      </c>
      <c r="U508" s="8">
        <v>5373.9</v>
      </c>
      <c r="V508" s="8">
        <v>35536.699999999997</v>
      </c>
    </row>
    <row r="509" spans="1:22" x14ac:dyDescent="0.15">
      <c r="A509" s="9">
        <v>45200</v>
      </c>
      <c r="B509" s="8">
        <v>14268.5</v>
      </c>
      <c r="C509" s="8">
        <v>5969</v>
      </c>
      <c r="D509" s="8">
        <v>2854.3</v>
      </c>
      <c r="E509" s="8">
        <v>1832.3</v>
      </c>
      <c r="F509" s="8">
        <v>5471.7</v>
      </c>
      <c r="G509" s="8">
        <v>5551.1</v>
      </c>
      <c r="H509" s="8">
        <v>35946.9</v>
      </c>
      <c r="I509" s="8">
        <v>14144.2</v>
      </c>
      <c r="J509" s="8">
        <v>5768.7</v>
      </c>
      <c r="K509" s="8">
        <v>2957.2</v>
      </c>
      <c r="L509" s="8">
        <v>1895.9</v>
      </c>
      <c r="M509" s="8">
        <v>5423.8</v>
      </c>
      <c r="N509" s="8">
        <v>5354.7</v>
      </c>
      <c r="O509" s="8">
        <v>35544.5</v>
      </c>
      <c r="P509" s="8">
        <v>14110.4</v>
      </c>
      <c r="Q509" s="8">
        <v>5833.1</v>
      </c>
      <c r="R509" s="8">
        <v>2972.1</v>
      </c>
      <c r="S509" s="8">
        <v>1903.1</v>
      </c>
      <c r="T509" s="8">
        <v>5438.6</v>
      </c>
      <c r="U509" s="8">
        <v>5365.7</v>
      </c>
      <c r="V509" s="8">
        <v>35623.1</v>
      </c>
    </row>
    <row r="510" spans="1:22" x14ac:dyDescent="0.15">
      <c r="A510" s="9">
        <v>45231</v>
      </c>
      <c r="B510" s="8">
        <v>14296.6</v>
      </c>
      <c r="C510" s="8">
        <v>6885.5</v>
      </c>
      <c r="D510" s="8">
        <v>3455.2</v>
      </c>
      <c r="E510" s="8">
        <v>2363.6999999999998</v>
      </c>
      <c r="F510" s="8">
        <v>6184.4</v>
      </c>
      <c r="G510" s="8">
        <v>5463.5</v>
      </c>
      <c r="H510" s="8">
        <v>38649</v>
      </c>
      <c r="I510" s="8">
        <v>14142.6</v>
      </c>
      <c r="J510" s="8">
        <v>6134.6</v>
      </c>
      <c r="K510" s="8">
        <v>3012.6</v>
      </c>
      <c r="L510" s="8">
        <v>1971.5</v>
      </c>
      <c r="M510" s="8">
        <v>5465.4</v>
      </c>
      <c r="N510" s="8">
        <v>5351</v>
      </c>
      <c r="O510" s="8">
        <v>36077.699999999997</v>
      </c>
      <c r="P510" s="8">
        <v>14158.5</v>
      </c>
      <c r="Q510" s="8">
        <v>5830</v>
      </c>
      <c r="R510" s="8">
        <v>2969.9</v>
      </c>
      <c r="S510" s="8">
        <v>1906.7</v>
      </c>
      <c r="T510" s="8">
        <v>5457.4</v>
      </c>
      <c r="U510" s="8">
        <v>5358.9</v>
      </c>
      <c r="V510" s="8">
        <v>35681.4</v>
      </c>
    </row>
    <row r="511" spans="1:22" x14ac:dyDescent="0.15">
      <c r="A511" s="9">
        <v>45261</v>
      </c>
      <c r="B511" s="8">
        <v>16634</v>
      </c>
      <c r="C511" s="8">
        <v>7096.7</v>
      </c>
      <c r="D511" s="8">
        <v>4450.6000000000004</v>
      </c>
      <c r="E511" s="8">
        <v>3189</v>
      </c>
      <c r="F511" s="8">
        <v>6951</v>
      </c>
      <c r="G511" s="8">
        <v>5837.4</v>
      </c>
      <c r="H511" s="8">
        <v>44158.6</v>
      </c>
      <c r="I511" s="8">
        <v>14237.4</v>
      </c>
      <c r="J511" s="8">
        <v>5646.3</v>
      </c>
      <c r="K511" s="8">
        <v>2871.9</v>
      </c>
      <c r="L511" s="8">
        <v>1844.6</v>
      </c>
      <c r="M511" s="8">
        <v>5446.6</v>
      </c>
      <c r="N511" s="8">
        <v>5317.6</v>
      </c>
      <c r="O511" s="8">
        <v>35364.400000000001</v>
      </c>
      <c r="P511" s="8">
        <v>14200.8</v>
      </c>
      <c r="Q511" s="8">
        <v>5800.3</v>
      </c>
      <c r="R511" s="8">
        <v>2967.9</v>
      </c>
      <c r="S511" s="8">
        <v>1903.9</v>
      </c>
      <c r="T511" s="8">
        <v>5475.4</v>
      </c>
      <c r="U511" s="8">
        <v>5358.6</v>
      </c>
      <c r="V511" s="8">
        <v>35706.9</v>
      </c>
    </row>
    <row r="512" spans="1:22" x14ac:dyDescent="0.15">
      <c r="A512" s="9">
        <v>45292</v>
      </c>
      <c r="B512" s="8">
        <v>14188.2</v>
      </c>
      <c r="C512" s="8">
        <v>5611.9</v>
      </c>
      <c r="D512" s="8">
        <v>2757.7</v>
      </c>
      <c r="E512" s="8">
        <v>1672.6</v>
      </c>
      <c r="F512" s="8">
        <v>5285.4</v>
      </c>
      <c r="G512" s="8">
        <v>5219.1000000000004</v>
      </c>
      <c r="H512" s="8">
        <v>34734.9</v>
      </c>
      <c r="I512" s="8">
        <v>14241.2</v>
      </c>
      <c r="J512" s="8">
        <v>5754.9</v>
      </c>
      <c r="K512" s="8">
        <v>2945.8</v>
      </c>
      <c r="L512" s="8">
        <v>1878.5</v>
      </c>
      <c r="M512" s="8">
        <v>5529</v>
      </c>
      <c r="N512" s="8">
        <v>5379.5</v>
      </c>
      <c r="O512" s="8">
        <v>35728.9</v>
      </c>
      <c r="P512" s="8">
        <v>14236.6</v>
      </c>
      <c r="Q512" s="8">
        <v>5756.8</v>
      </c>
      <c r="R512" s="8">
        <v>2968.1</v>
      </c>
      <c r="S512" s="8">
        <v>1897.6</v>
      </c>
      <c r="T512" s="8">
        <v>5494.6</v>
      </c>
      <c r="U512" s="8">
        <v>5365.6</v>
      </c>
      <c r="V512" s="8">
        <v>35719.300000000003</v>
      </c>
    </row>
    <row r="513" spans="1:22" x14ac:dyDescent="0.15">
      <c r="A513" s="9">
        <v>45323</v>
      </c>
      <c r="B513" s="8">
        <v>13546.5</v>
      </c>
      <c r="C513" s="8">
        <v>5211.7</v>
      </c>
      <c r="D513" s="8">
        <v>2521.6999999999998</v>
      </c>
      <c r="E513" s="8">
        <v>1435.1</v>
      </c>
      <c r="F513" s="8">
        <v>5049.2</v>
      </c>
      <c r="G513" s="8">
        <v>4981.1000000000004</v>
      </c>
      <c r="H513" s="8">
        <v>32745.3</v>
      </c>
      <c r="I513" s="8">
        <v>14225.4</v>
      </c>
      <c r="J513" s="8">
        <v>5706.2</v>
      </c>
      <c r="K513" s="8">
        <v>3090</v>
      </c>
      <c r="L513" s="8">
        <v>1924.4</v>
      </c>
      <c r="M513" s="8">
        <v>5514.7</v>
      </c>
      <c r="N513" s="8">
        <v>5398.4</v>
      </c>
      <c r="O513" s="8">
        <v>35859.1</v>
      </c>
      <c r="P513" s="8">
        <v>14268</v>
      </c>
      <c r="Q513" s="8">
        <v>5718.9</v>
      </c>
      <c r="R513" s="8">
        <v>2972.1</v>
      </c>
      <c r="S513" s="8">
        <v>1892.7</v>
      </c>
      <c r="T513" s="8">
        <v>5520.6</v>
      </c>
      <c r="U513" s="8">
        <v>5377.4</v>
      </c>
      <c r="V513" s="8">
        <v>35749.699999999997</v>
      </c>
    </row>
    <row r="514" spans="1:22" x14ac:dyDescent="0.15">
      <c r="A514" s="9">
        <v>45352</v>
      </c>
      <c r="B514" s="8">
        <v>14838.6</v>
      </c>
      <c r="C514" s="8">
        <v>5294.9</v>
      </c>
      <c r="D514" s="8">
        <v>2667.2</v>
      </c>
      <c r="E514" s="8">
        <v>1729.1</v>
      </c>
      <c r="F514" s="8">
        <v>5228.6000000000004</v>
      </c>
      <c r="G514" s="8">
        <v>5378.4</v>
      </c>
      <c r="H514" s="8">
        <v>35136.699999999997</v>
      </c>
      <c r="I514" s="8">
        <v>14344.9</v>
      </c>
      <c r="J514" s="8">
        <v>5634.5</v>
      </c>
      <c r="K514" s="8">
        <v>2951.8</v>
      </c>
      <c r="L514" s="8">
        <v>1889.1</v>
      </c>
      <c r="M514" s="8">
        <v>5512.5</v>
      </c>
      <c r="N514" s="8">
        <v>5389.4</v>
      </c>
      <c r="O514" s="8">
        <v>35722.300000000003</v>
      </c>
      <c r="P514" s="8">
        <v>14300.1</v>
      </c>
      <c r="Q514" s="8">
        <v>5702.9</v>
      </c>
      <c r="R514" s="8">
        <v>2977</v>
      </c>
      <c r="S514" s="8">
        <v>1889.7</v>
      </c>
      <c r="T514" s="8">
        <v>5552.4</v>
      </c>
      <c r="U514" s="8">
        <v>5387.7</v>
      </c>
      <c r="V514" s="8">
        <v>35809.9</v>
      </c>
    </row>
    <row r="515" spans="1:22" x14ac:dyDescent="0.15">
      <c r="A515" s="9">
        <v>45383</v>
      </c>
      <c r="B515" s="8">
        <v>13749.8</v>
      </c>
      <c r="C515" s="8">
        <v>5195.6000000000004</v>
      </c>
      <c r="D515" s="8">
        <v>2807.9</v>
      </c>
      <c r="E515" s="8">
        <v>1728.6</v>
      </c>
      <c r="F515" s="8">
        <v>5213.8</v>
      </c>
      <c r="G515" s="8">
        <v>5325.3</v>
      </c>
      <c r="H515" s="8">
        <v>34020.9</v>
      </c>
      <c r="I515" s="8">
        <v>14283.7</v>
      </c>
      <c r="J515" s="8">
        <v>5697.7</v>
      </c>
      <c r="K515" s="8">
        <v>2937.8</v>
      </c>
      <c r="L515" s="8">
        <v>1888</v>
      </c>
      <c r="M515" s="8">
        <v>5604.1</v>
      </c>
      <c r="N515" s="8">
        <v>5398.2</v>
      </c>
      <c r="O515" s="8">
        <v>35809.5</v>
      </c>
      <c r="P515" s="8">
        <v>14334.9</v>
      </c>
      <c r="Q515" s="8">
        <v>5708.3</v>
      </c>
      <c r="R515" s="8">
        <v>2980</v>
      </c>
      <c r="S515" s="8">
        <v>1887.8</v>
      </c>
      <c r="T515" s="8">
        <v>5586.2</v>
      </c>
      <c r="U515" s="8">
        <v>5394.3</v>
      </c>
      <c r="V515" s="8">
        <v>35891.5</v>
      </c>
    </row>
    <row r="516" spans="1:22" x14ac:dyDescent="0.15">
      <c r="A516" s="9">
        <v>45413</v>
      </c>
      <c r="B516" s="8">
        <v>14189.2</v>
      </c>
      <c r="C516" s="8">
        <v>5510.7</v>
      </c>
      <c r="D516" s="8">
        <v>3021.8</v>
      </c>
      <c r="E516" s="8">
        <v>1806.4</v>
      </c>
      <c r="F516" s="8">
        <v>5535.7</v>
      </c>
      <c r="G516" s="8">
        <v>5391.6</v>
      </c>
      <c r="H516" s="8">
        <v>35455.4</v>
      </c>
      <c r="I516" s="8">
        <v>14390.6</v>
      </c>
      <c r="J516" s="8">
        <v>5758.1</v>
      </c>
      <c r="K516" s="8">
        <v>2979.9</v>
      </c>
      <c r="L516" s="8">
        <v>1872.5</v>
      </c>
      <c r="M516" s="8">
        <v>5621.5</v>
      </c>
      <c r="N516" s="8">
        <v>5391.7</v>
      </c>
      <c r="O516" s="8">
        <v>36014.300000000003</v>
      </c>
      <c r="P516" s="8">
        <v>14370.9</v>
      </c>
      <c r="Q516" s="8">
        <v>5721</v>
      </c>
      <c r="R516" s="8">
        <v>2981.7</v>
      </c>
      <c r="S516" s="8">
        <v>1885.5</v>
      </c>
      <c r="T516" s="8">
        <v>5620.4</v>
      </c>
      <c r="U516" s="8">
        <v>5398.7</v>
      </c>
      <c r="V516" s="8">
        <v>35977.800000000003</v>
      </c>
    </row>
    <row r="517" spans="1:22" x14ac:dyDescent="0.15">
      <c r="A517" s="9">
        <v>45444</v>
      </c>
      <c r="B517" s="8">
        <v>13699.6</v>
      </c>
      <c r="C517" s="8">
        <v>5841.5</v>
      </c>
      <c r="D517" s="8">
        <v>2917.2</v>
      </c>
      <c r="E517" s="8">
        <v>1859</v>
      </c>
      <c r="F517" s="8">
        <v>5333.5</v>
      </c>
      <c r="G517" s="8">
        <v>5115.3</v>
      </c>
      <c r="H517" s="8">
        <v>34766.199999999997</v>
      </c>
      <c r="I517" s="8">
        <v>14425.2</v>
      </c>
      <c r="J517" s="8">
        <v>5820.3</v>
      </c>
      <c r="K517" s="8">
        <v>2999.8</v>
      </c>
      <c r="L517" s="8">
        <v>1890.8</v>
      </c>
      <c r="M517" s="8">
        <v>5676.3</v>
      </c>
      <c r="N517" s="8">
        <v>5391.9</v>
      </c>
      <c r="O517" s="8">
        <v>36204.5</v>
      </c>
      <c r="P517" s="8">
        <v>14402.5</v>
      </c>
      <c r="Q517" s="8">
        <v>5769.2</v>
      </c>
      <c r="R517" s="8">
        <v>2990.6</v>
      </c>
      <c r="S517" s="8">
        <v>1888.8</v>
      </c>
      <c r="T517" s="8">
        <v>5655.9</v>
      </c>
      <c r="U517" s="8">
        <v>5402.9</v>
      </c>
      <c r="V517" s="8">
        <v>36110.6</v>
      </c>
    </row>
  </sheetData>
  <pageMargins left="0.7" right="0.7" top="0.75" bottom="0.75" header="0.3" footer="0.3"/>
  <pageSetup paperSize="0" orientation="portrait" horizontalDpi="0" verticalDpi="0" copie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8F151-584C-5E40-859E-628275BF025B}">
  <dimension ref="A1:R10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11" sqref="A11"/>
      <selection pane="bottomRight" activeCell="M78" sqref="M78"/>
    </sheetView>
  </sheetViews>
  <sheetFormatPr baseColWidth="10" defaultColWidth="14.6640625" defaultRowHeight="11" x14ac:dyDescent="0.15"/>
  <cols>
    <col min="1" max="1" width="14.6640625" style="1"/>
    <col min="2" max="2" width="22" style="1" customWidth="1"/>
    <col min="3" max="3" width="15.33203125" style="1" bestFit="1" customWidth="1"/>
    <col min="4" max="4" width="15.83203125" style="1" bestFit="1" customWidth="1"/>
    <col min="5" max="7" width="14.6640625" style="1"/>
    <col min="8" max="8" width="17.5" style="1" bestFit="1" customWidth="1"/>
    <col min="9" max="16384" width="14.6640625" style="1"/>
  </cols>
  <sheetData>
    <row r="1" spans="1:18" s="2" customFormat="1" ht="30" customHeight="1" x14ac:dyDescent="0.15">
      <c r="A1" s="29" t="s">
        <v>76</v>
      </c>
      <c r="B1" s="30" t="s">
        <v>77</v>
      </c>
      <c r="C1" s="4" t="s">
        <v>85</v>
      </c>
      <c r="D1" s="4" t="s">
        <v>86</v>
      </c>
      <c r="E1" s="4" t="s">
        <v>44</v>
      </c>
      <c r="F1" s="4" t="s">
        <v>45</v>
      </c>
      <c r="G1" s="4" t="s">
        <v>46</v>
      </c>
      <c r="H1" s="4" t="s">
        <v>47</v>
      </c>
    </row>
    <row r="2" spans="1:18" x14ac:dyDescent="0.15">
      <c r="A2" s="9">
        <v>42186</v>
      </c>
      <c r="B2" s="8">
        <v>1585.7</v>
      </c>
      <c r="C2" s="11">
        <f>B2</f>
        <v>1585.7</v>
      </c>
      <c r="D2" s="11"/>
      <c r="E2" s="12">
        <f t="shared" ref="E2:E65" si="0">B2-C2</f>
        <v>0</v>
      </c>
      <c r="F2" s="12">
        <f>ABS(E2)</f>
        <v>0</v>
      </c>
      <c r="G2" s="12">
        <f>E2*E2</f>
        <v>0</v>
      </c>
      <c r="H2" s="12">
        <f t="shared" ref="H2:H65" si="1">(F2/B2)*100</f>
        <v>0</v>
      </c>
      <c r="K2" s="1" t="s">
        <v>43</v>
      </c>
      <c r="L2" s="14">
        <v>0.5</v>
      </c>
    </row>
    <row r="3" spans="1:18" x14ac:dyDescent="0.15">
      <c r="A3" s="9">
        <v>42217</v>
      </c>
      <c r="B3" s="8">
        <v>1586.3</v>
      </c>
      <c r="C3" s="11">
        <f t="shared" ref="C3:C66" si="2">$L$2*B2+(1-$L$2)*C2</f>
        <v>1585.7</v>
      </c>
      <c r="D3" s="11"/>
      <c r="E3" s="12">
        <f t="shared" si="0"/>
        <v>0.59999999999990905</v>
      </c>
      <c r="F3" s="12">
        <f t="shared" ref="F3:F66" si="3">ABS(E3)</f>
        <v>0.59999999999990905</v>
      </c>
      <c r="G3" s="12">
        <f>E3*E3</f>
        <v>0.35999999999989085</v>
      </c>
      <c r="H3" s="12">
        <f t="shared" si="1"/>
        <v>3.7823866859982916E-2</v>
      </c>
    </row>
    <row r="4" spans="1:18" x14ac:dyDescent="0.15">
      <c r="A4" s="9">
        <v>42248</v>
      </c>
      <c r="B4" s="8">
        <v>1541.9</v>
      </c>
      <c r="C4" s="11">
        <f t="shared" si="2"/>
        <v>1586</v>
      </c>
      <c r="D4" s="11"/>
      <c r="E4" s="12">
        <f t="shared" si="0"/>
        <v>-44.099999999999909</v>
      </c>
      <c r="F4" s="12">
        <f t="shared" si="3"/>
        <v>44.099999999999909</v>
      </c>
      <c r="G4" s="12">
        <f t="shared" ref="G4:G67" si="4">E4*E4</f>
        <v>1944.809999999992</v>
      </c>
      <c r="H4" s="12">
        <f t="shared" si="1"/>
        <v>2.8601076593812769</v>
      </c>
    </row>
    <row r="5" spans="1:18" x14ac:dyDescent="0.15">
      <c r="A5" s="9">
        <v>42278</v>
      </c>
      <c r="B5" s="8">
        <v>1591.9</v>
      </c>
      <c r="C5" s="11">
        <f t="shared" si="2"/>
        <v>1563.95</v>
      </c>
      <c r="D5" s="11"/>
      <c r="E5" s="12">
        <f t="shared" si="0"/>
        <v>27.950000000000045</v>
      </c>
      <c r="F5" s="12">
        <f t="shared" si="3"/>
        <v>27.950000000000045</v>
      </c>
      <c r="G5" s="12">
        <f t="shared" si="4"/>
        <v>781.20250000000249</v>
      </c>
      <c r="H5" s="12">
        <f t="shared" si="1"/>
        <v>1.7557635529869993</v>
      </c>
    </row>
    <row r="6" spans="1:18" x14ac:dyDescent="0.15">
      <c r="A6" s="9">
        <v>42309</v>
      </c>
      <c r="B6" s="8">
        <v>1590</v>
      </c>
      <c r="C6" s="11">
        <f t="shared" si="2"/>
        <v>1577.9250000000002</v>
      </c>
      <c r="D6" s="11"/>
      <c r="E6" s="12">
        <f t="shared" si="0"/>
        <v>12.074999999999818</v>
      </c>
      <c r="F6" s="12">
        <f t="shared" si="3"/>
        <v>12.074999999999818</v>
      </c>
      <c r="G6" s="12">
        <f t="shared" si="4"/>
        <v>145.80562499999562</v>
      </c>
      <c r="H6" s="12">
        <f t="shared" si="1"/>
        <v>0.75943396226413951</v>
      </c>
    </row>
    <row r="7" spans="1:18" x14ac:dyDescent="0.15">
      <c r="A7" s="9">
        <v>42339</v>
      </c>
      <c r="B7" s="8">
        <v>1592.5</v>
      </c>
      <c r="C7" s="11">
        <f t="shared" si="2"/>
        <v>1583.9625000000001</v>
      </c>
      <c r="D7" s="11"/>
      <c r="E7" s="12">
        <f t="shared" si="0"/>
        <v>8.5374999999999091</v>
      </c>
      <c r="F7" s="12">
        <f t="shared" si="3"/>
        <v>8.5374999999999091</v>
      </c>
      <c r="G7" s="12">
        <f t="shared" si="4"/>
        <v>72.888906249998442</v>
      </c>
      <c r="H7" s="12">
        <f t="shared" si="1"/>
        <v>0.53610675039245892</v>
      </c>
    </row>
    <row r="8" spans="1:18" x14ac:dyDescent="0.15">
      <c r="A8" s="9">
        <v>42370</v>
      </c>
      <c r="B8" s="8">
        <v>1610.3</v>
      </c>
      <c r="C8" s="11">
        <f t="shared" si="2"/>
        <v>1588.23125</v>
      </c>
      <c r="D8" s="11"/>
      <c r="E8" s="12">
        <f t="shared" si="0"/>
        <v>22.068749999999909</v>
      </c>
      <c r="F8" s="12">
        <f t="shared" si="3"/>
        <v>22.068749999999909</v>
      </c>
      <c r="G8" s="12">
        <f t="shared" si="4"/>
        <v>487.02972656249597</v>
      </c>
      <c r="H8" s="12">
        <f t="shared" si="1"/>
        <v>1.3704744457554436</v>
      </c>
      <c r="O8" s="1" t="s">
        <v>78</v>
      </c>
      <c r="Q8" s="1" t="s">
        <v>43</v>
      </c>
      <c r="R8" s="25">
        <v>0.05</v>
      </c>
    </row>
    <row r="9" spans="1:18" x14ac:dyDescent="0.15">
      <c r="A9" s="9">
        <v>42401</v>
      </c>
      <c r="B9" s="8">
        <v>1591.6</v>
      </c>
      <c r="C9" s="11">
        <f t="shared" si="2"/>
        <v>1599.265625</v>
      </c>
      <c r="D9" s="11"/>
      <c r="E9" s="12">
        <f t="shared" si="0"/>
        <v>-7.6656250000000909</v>
      </c>
      <c r="F9" s="12">
        <f t="shared" si="3"/>
        <v>7.6656250000000909</v>
      </c>
      <c r="G9" s="12">
        <f t="shared" si="4"/>
        <v>58.761806640626396</v>
      </c>
      <c r="H9" s="12">
        <f t="shared" si="1"/>
        <v>0.48163012063333066</v>
      </c>
    </row>
    <row r="10" spans="1:18" x14ac:dyDescent="0.15">
      <c r="A10" s="9">
        <v>42430</v>
      </c>
      <c r="B10" s="8">
        <v>1584.6</v>
      </c>
      <c r="C10" s="11">
        <f t="shared" si="2"/>
        <v>1595.4328125</v>
      </c>
      <c r="D10" s="11"/>
      <c r="E10" s="12">
        <f t="shared" si="0"/>
        <v>-10.832812500000045</v>
      </c>
      <c r="F10" s="12">
        <f t="shared" si="3"/>
        <v>10.832812500000045</v>
      </c>
      <c r="G10" s="12">
        <f t="shared" si="4"/>
        <v>117.34982666015723</v>
      </c>
      <c r="H10" s="12">
        <f t="shared" si="1"/>
        <v>0.68363072699735239</v>
      </c>
      <c r="O10" s="26" t="s">
        <v>80</v>
      </c>
      <c r="P10" s="26" t="s">
        <v>79</v>
      </c>
      <c r="Q10" s="26" t="s">
        <v>81</v>
      </c>
      <c r="R10" s="26" t="s">
        <v>82</v>
      </c>
    </row>
    <row r="11" spans="1:18" x14ac:dyDescent="0.15">
      <c r="A11" s="9">
        <v>42461</v>
      </c>
      <c r="B11" s="8">
        <v>1580.8</v>
      </c>
      <c r="C11" s="11">
        <f t="shared" si="2"/>
        <v>1590.0164062499998</v>
      </c>
      <c r="D11" s="11"/>
      <c r="E11" s="12">
        <f t="shared" si="0"/>
        <v>-9.2164062499998636</v>
      </c>
      <c r="F11" s="12">
        <f t="shared" si="3"/>
        <v>9.2164062499998636</v>
      </c>
      <c r="G11" s="12">
        <f t="shared" si="4"/>
        <v>84.942144165036552</v>
      </c>
      <c r="H11" s="12">
        <f t="shared" si="1"/>
        <v>0.5830216504301533</v>
      </c>
    </row>
    <row r="12" spans="1:18" x14ac:dyDescent="0.15">
      <c r="A12" s="9">
        <v>42491</v>
      </c>
      <c r="B12" s="8">
        <v>1567.4</v>
      </c>
      <c r="C12" s="11">
        <f t="shared" si="2"/>
        <v>1585.408203125</v>
      </c>
      <c r="D12" s="11"/>
      <c r="E12" s="12">
        <f t="shared" si="0"/>
        <v>-18.008203124999909</v>
      </c>
      <c r="F12" s="12">
        <f t="shared" si="3"/>
        <v>18.008203124999909</v>
      </c>
      <c r="G12" s="12">
        <f t="shared" si="4"/>
        <v>324.29537979125649</v>
      </c>
      <c r="H12" s="12">
        <f t="shared" si="1"/>
        <v>1.1489219806686173</v>
      </c>
      <c r="O12" s="1">
        <f>O11+1</f>
        <v>1</v>
      </c>
      <c r="P12" s="1">
        <f>[1]!ACF($E$2:$E$97,O12)</f>
        <v>0.22233830407822958</v>
      </c>
      <c r="Q12" s="1">
        <f>-R12</f>
        <v>-0.20003798651480456</v>
      </c>
      <c r="R12" s="1">
        <f>_xlfn.NORM.S.INV(1-$R$8/2)/SQRT(COUNT($E$2:$E$97))</f>
        <v>0.20003798651480456</v>
      </c>
    </row>
    <row r="13" spans="1:18" x14ac:dyDescent="0.15">
      <c r="A13" s="9">
        <v>42522</v>
      </c>
      <c r="B13" s="8">
        <v>1582.1</v>
      </c>
      <c r="C13" s="11">
        <f t="shared" si="2"/>
        <v>1576.4041015625</v>
      </c>
      <c r="D13" s="11"/>
      <c r="E13" s="12">
        <f t="shared" si="0"/>
        <v>5.6958984374998636</v>
      </c>
      <c r="F13" s="12">
        <f t="shared" si="3"/>
        <v>5.6958984374998636</v>
      </c>
      <c r="G13" s="12">
        <f t="shared" si="4"/>
        <v>32.44325901031339</v>
      </c>
      <c r="H13" s="12">
        <f t="shared" si="1"/>
        <v>0.36002139166297098</v>
      </c>
      <c r="O13" s="1">
        <f t="shared" ref="O13:O35" si="5">O12+1</f>
        <v>2</v>
      </c>
      <c r="P13" s="1">
        <f>[1]!ACF($E$2:$E$97,O13)</f>
        <v>-0.10629347385870271</v>
      </c>
      <c r="Q13" s="1">
        <f>-R13</f>
        <v>-0.20969369131774088</v>
      </c>
      <c r="R13" s="1">
        <f>_xlfn.NORM.S.INV(1-$R$8/2)*SQRT((1+2*SUMSQ(P$12:P12))/COUNT($E$2:$E$97))</f>
        <v>0.20969369131774088</v>
      </c>
    </row>
    <row r="14" spans="1:18" x14ac:dyDescent="0.15">
      <c r="A14" s="9">
        <v>42552</v>
      </c>
      <c r="B14" s="8">
        <v>1537.2</v>
      </c>
      <c r="C14" s="11">
        <f t="shared" si="2"/>
        <v>1579.2520507812501</v>
      </c>
      <c r="D14" s="11"/>
      <c r="E14" s="12">
        <f t="shared" si="0"/>
        <v>-42.052050781250045</v>
      </c>
      <c r="F14" s="12">
        <f t="shared" si="3"/>
        <v>42.052050781250045</v>
      </c>
      <c r="G14" s="12">
        <f t="shared" si="4"/>
        <v>1768.3749749088327</v>
      </c>
      <c r="H14" s="12">
        <f t="shared" si="1"/>
        <v>2.7356265145231617</v>
      </c>
      <c r="O14" s="1">
        <f t="shared" si="5"/>
        <v>3</v>
      </c>
      <c r="P14" s="1">
        <f>[1]!ACF($E$2:$E$97,O14)</f>
        <v>-0.18586777324061587</v>
      </c>
      <c r="Q14" s="1">
        <f t="shared" ref="Q14:Q35" si="6">-R14</f>
        <v>-0.21183873999902172</v>
      </c>
      <c r="R14" s="1">
        <f>_xlfn.NORM.S.INV(1-$R$8/2)*SQRT((1+2*SUMSQ(P$12:P13))/COUNT($E$2:$E$97))</f>
        <v>0.21183873999902172</v>
      </c>
    </row>
    <row r="15" spans="1:18" x14ac:dyDescent="0.15">
      <c r="A15" s="9">
        <v>42583</v>
      </c>
      <c r="B15" s="8">
        <v>1541.6</v>
      </c>
      <c r="C15" s="11">
        <f t="shared" si="2"/>
        <v>1558.2260253906252</v>
      </c>
      <c r="D15" s="11"/>
      <c r="E15" s="12">
        <f t="shared" si="0"/>
        <v>-16.626025390625273</v>
      </c>
      <c r="F15" s="12">
        <f t="shared" si="3"/>
        <v>16.626025390625273</v>
      </c>
      <c r="G15" s="12">
        <f t="shared" si="4"/>
        <v>276.42472028971628</v>
      </c>
      <c r="H15" s="12">
        <f t="shared" si="1"/>
        <v>1.0784915276741875</v>
      </c>
      <c r="O15" s="1">
        <f t="shared" si="5"/>
        <v>4</v>
      </c>
      <c r="P15" s="1">
        <f>[1]!ACF($E$2:$E$97,O15)</f>
        <v>-2.2048552382156104E-2</v>
      </c>
      <c r="Q15" s="1">
        <f t="shared" si="6"/>
        <v>-0.21826691926477659</v>
      </c>
      <c r="R15" s="1">
        <f>_xlfn.NORM.S.INV(1-$R$8/2)*SQRT((1+2*SUMSQ(P$12:P14))/COUNT($E$2:$E$97))</f>
        <v>0.21826691926477659</v>
      </c>
    </row>
    <row r="16" spans="1:18" x14ac:dyDescent="0.15">
      <c r="A16" s="9">
        <v>42614</v>
      </c>
      <c r="B16" s="8">
        <v>1537.8</v>
      </c>
      <c r="C16" s="11">
        <f t="shared" si="2"/>
        <v>1549.9130126953125</v>
      </c>
      <c r="D16" s="11"/>
      <c r="E16" s="12">
        <f t="shared" si="0"/>
        <v>-12.113012695312591</v>
      </c>
      <c r="F16" s="12">
        <f t="shared" si="3"/>
        <v>12.113012695312591</v>
      </c>
      <c r="G16" s="12">
        <f t="shared" si="4"/>
        <v>146.725076556804</v>
      </c>
      <c r="H16" s="12">
        <f t="shared" si="1"/>
        <v>0.78768452954302193</v>
      </c>
      <c r="O16" s="1">
        <f t="shared" si="5"/>
        <v>5</v>
      </c>
      <c r="P16" s="1">
        <f>[1]!ACF($E$2:$E$97,O16)</f>
        <v>3.1326702841255209E-2</v>
      </c>
      <c r="Q16" s="1">
        <f t="shared" si="6"/>
        <v>-0.21835602559371281</v>
      </c>
      <c r="R16" s="1">
        <f>_xlfn.NORM.S.INV(1-$R$8/2)*SQRT((1+2*SUMSQ(P$12:P15))/COUNT($E$2:$E$97))</f>
        <v>0.21835602559371281</v>
      </c>
    </row>
    <row r="17" spans="1:18" x14ac:dyDescent="0.15">
      <c r="A17" s="9">
        <v>42644</v>
      </c>
      <c r="B17" s="8">
        <v>1536.8</v>
      </c>
      <c r="C17" s="11">
        <f t="shared" si="2"/>
        <v>1543.8565063476562</v>
      </c>
      <c r="D17" s="11"/>
      <c r="E17" s="12">
        <f t="shared" si="0"/>
        <v>-7.0565063476562955</v>
      </c>
      <c r="F17" s="12">
        <f t="shared" si="3"/>
        <v>7.0565063476562955</v>
      </c>
      <c r="G17" s="12">
        <f t="shared" si="4"/>
        <v>49.79428183451359</v>
      </c>
      <c r="H17" s="12">
        <f t="shared" si="1"/>
        <v>0.4591688149177704</v>
      </c>
      <c r="O17" s="1">
        <f t="shared" si="5"/>
        <v>6</v>
      </c>
      <c r="P17" s="1">
        <f>[1]!ACF($E$2:$E$97,O17)</f>
        <v>3.3306872339916242E-2</v>
      </c>
      <c r="Q17" s="1">
        <f t="shared" si="6"/>
        <v>-0.21853579277457921</v>
      </c>
      <c r="R17" s="1">
        <f>_xlfn.NORM.S.INV(1-$R$8/2)*SQRT((1+2*SUMSQ(P$12:P16))/COUNT($E$2:$E$97))</f>
        <v>0.21853579277457921</v>
      </c>
    </row>
    <row r="18" spans="1:18" x14ac:dyDescent="0.15">
      <c r="A18" s="9">
        <v>42675</v>
      </c>
      <c r="B18" s="8">
        <v>1524.3</v>
      </c>
      <c r="C18" s="11">
        <f t="shared" si="2"/>
        <v>1540.3282531738282</v>
      </c>
      <c r="D18" s="11"/>
      <c r="E18" s="12">
        <f t="shared" si="0"/>
        <v>-16.028253173828261</v>
      </c>
      <c r="F18" s="12">
        <f t="shared" si="3"/>
        <v>16.028253173828261</v>
      </c>
      <c r="G18" s="12">
        <f t="shared" si="4"/>
        <v>256.90489980433574</v>
      </c>
      <c r="H18" s="12">
        <f t="shared" si="1"/>
        <v>1.0515156579300835</v>
      </c>
      <c r="O18" s="1">
        <f t="shared" si="5"/>
        <v>7</v>
      </c>
      <c r="P18" s="1">
        <f>[1]!ACF($E$2:$E$97,O18)</f>
        <v>-0.19882984296959799</v>
      </c>
      <c r="Q18" s="1">
        <f t="shared" si="6"/>
        <v>-0.2187388265914956</v>
      </c>
      <c r="R18" s="1">
        <f>_xlfn.NORM.S.INV(1-$R$8/2)*SQRT((1+2*SUMSQ(P$12:P17))/COUNT($E$2:$E$97))</f>
        <v>0.2187388265914956</v>
      </c>
    </row>
    <row r="19" spans="1:18" x14ac:dyDescent="0.15">
      <c r="A19" s="9">
        <v>42705</v>
      </c>
      <c r="B19" s="8">
        <v>1550.1</v>
      </c>
      <c r="C19" s="11">
        <f t="shared" si="2"/>
        <v>1532.314126586914</v>
      </c>
      <c r="D19" s="11"/>
      <c r="E19" s="12">
        <f t="shared" si="0"/>
        <v>17.785873413085938</v>
      </c>
      <c r="F19" s="12">
        <f t="shared" si="3"/>
        <v>17.785873413085938</v>
      </c>
      <c r="G19" s="12">
        <f t="shared" si="4"/>
        <v>316.33729306631722</v>
      </c>
      <c r="H19" s="12">
        <f t="shared" si="1"/>
        <v>1.1474016781553409</v>
      </c>
      <c r="O19" s="1">
        <f t="shared" si="5"/>
        <v>8</v>
      </c>
      <c r="P19" s="1">
        <f>[1]!ACF($E$2:$E$97,O19)</f>
        <v>-0.14880213124158237</v>
      </c>
      <c r="Q19" s="1">
        <f t="shared" si="6"/>
        <v>-0.22585513116855571</v>
      </c>
      <c r="R19" s="1">
        <f>_xlfn.NORM.S.INV(1-$R$8/2)*SQRT((1+2*SUMSQ(P$12:P18))/COUNT($E$2:$E$97))</f>
        <v>0.22585513116855571</v>
      </c>
    </row>
    <row r="20" spans="1:18" x14ac:dyDescent="0.15">
      <c r="A20" s="9">
        <v>42736</v>
      </c>
      <c r="B20" s="8">
        <v>1554.7</v>
      </c>
      <c r="C20" s="11">
        <f t="shared" si="2"/>
        <v>1541.2070632934569</v>
      </c>
      <c r="D20" s="11"/>
      <c r="E20" s="12">
        <f t="shared" si="0"/>
        <v>13.492936706543105</v>
      </c>
      <c r="F20" s="12">
        <f t="shared" si="3"/>
        <v>13.492936706543105</v>
      </c>
      <c r="G20" s="12">
        <f t="shared" si="4"/>
        <v>182.05934096677831</v>
      </c>
      <c r="H20" s="12">
        <f t="shared" si="1"/>
        <v>0.86788040821657586</v>
      </c>
      <c r="O20" s="1">
        <f t="shared" si="5"/>
        <v>9</v>
      </c>
      <c r="P20" s="1">
        <f>[1]!ACF($E$2:$E$97,O20)</f>
        <v>-0.17196359176253526</v>
      </c>
      <c r="Q20" s="1">
        <f t="shared" si="6"/>
        <v>-0.22974459549729309</v>
      </c>
      <c r="R20" s="1">
        <f>_xlfn.NORM.S.INV(1-$R$8/2)*SQRT((1+2*SUMSQ(P$12:P19))/COUNT($E$2:$E$97))</f>
        <v>0.22974459549729309</v>
      </c>
    </row>
    <row r="21" spans="1:18" x14ac:dyDescent="0.15">
      <c r="A21" s="9">
        <v>42767</v>
      </c>
      <c r="B21" s="8">
        <v>1542.9</v>
      </c>
      <c r="C21" s="11">
        <f t="shared" si="2"/>
        <v>1547.9535316467286</v>
      </c>
      <c r="D21" s="11"/>
      <c r="E21" s="12">
        <f t="shared" si="0"/>
        <v>-5.0535316467285156</v>
      </c>
      <c r="F21" s="12">
        <f t="shared" si="3"/>
        <v>5.0535316467285156</v>
      </c>
      <c r="G21" s="12">
        <f t="shared" si="4"/>
        <v>25.538182104486623</v>
      </c>
      <c r="H21" s="12">
        <f t="shared" si="1"/>
        <v>0.32753461965963543</v>
      </c>
      <c r="O21" s="1">
        <f t="shared" si="5"/>
        <v>10</v>
      </c>
      <c r="P21" s="1">
        <f>[1]!ACF($E$2:$E$97,O21)</f>
        <v>-5.287988953747657E-2</v>
      </c>
      <c r="Q21" s="1">
        <f t="shared" si="6"/>
        <v>-0.23483865961715542</v>
      </c>
      <c r="R21" s="1">
        <f>_xlfn.NORM.S.INV(1-$R$8/2)*SQRT((1+2*SUMSQ(P$12:P20))/COUNT($E$2:$E$97))</f>
        <v>0.23483865961715542</v>
      </c>
    </row>
    <row r="22" spans="1:18" x14ac:dyDescent="0.15">
      <c r="A22" s="9">
        <v>42795</v>
      </c>
      <c r="B22" s="8">
        <v>1545.1</v>
      </c>
      <c r="C22" s="11">
        <f t="shared" si="2"/>
        <v>1545.4267658233643</v>
      </c>
      <c r="D22" s="11"/>
      <c r="E22" s="12">
        <f t="shared" si="0"/>
        <v>-0.32676582336443971</v>
      </c>
      <c r="F22" s="12">
        <f t="shared" si="3"/>
        <v>0.32676582336443971</v>
      </c>
      <c r="G22" s="12">
        <f t="shared" si="4"/>
        <v>0.10677590331904022</v>
      </c>
      <c r="H22" s="12">
        <f t="shared" si="1"/>
        <v>2.1148522643481958E-2</v>
      </c>
      <c r="O22" s="1">
        <f t="shared" si="5"/>
        <v>11</v>
      </c>
      <c r="P22" s="1">
        <f>[1]!ACF($E$2:$E$97,O22)</f>
        <v>5.6236941607494269E-2</v>
      </c>
      <c r="Q22" s="1">
        <f t="shared" si="6"/>
        <v>-0.23531464819062936</v>
      </c>
      <c r="R22" s="1">
        <f>_xlfn.NORM.S.INV(1-$R$8/2)*SQRT((1+2*SUMSQ(P$12:P21))/COUNT($E$2:$E$97))</f>
        <v>0.23531464819062936</v>
      </c>
    </row>
    <row r="23" spans="1:18" x14ac:dyDescent="0.15">
      <c r="A23" s="9">
        <v>42826</v>
      </c>
      <c r="B23" s="8">
        <v>1604.2</v>
      </c>
      <c r="C23" s="11">
        <f t="shared" si="2"/>
        <v>1545.2633829116821</v>
      </c>
      <c r="D23" s="11"/>
      <c r="E23" s="12">
        <f t="shared" si="0"/>
        <v>58.936617088317917</v>
      </c>
      <c r="F23" s="12">
        <f t="shared" si="3"/>
        <v>58.936617088317917</v>
      </c>
      <c r="G23" s="12">
        <f t="shared" si="4"/>
        <v>3473.5248338150072</v>
      </c>
      <c r="H23" s="12">
        <f t="shared" si="1"/>
        <v>3.6738945947087589</v>
      </c>
      <c r="O23" s="1">
        <f t="shared" si="5"/>
        <v>12</v>
      </c>
      <c r="P23" s="1">
        <f>[1]!ACF($E$2:$E$97,O23)</f>
        <v>0.14632165515199982</v>
      </c>
      <c r="Q23" s="1">
        <f t="shared" si="6"/>
        <v>-0.23585183327471262</v>
      </c>
      <c r="R23" s="1">
        <f>_xlfn.NORM.S.INV(1-$R$8/2)*SQRT((1+2*SUMSQ(P$12:P22))/COUNT($E$2:$E$97))</f>
        <v>0.23585183327471262</v>
      </c>
    </row>
    <row r="24" spans="1:18" x14ac:dyDescent="0.15">
      <c r="A24" s="9">
        <v>42856</v>
      </c>
      <c r="B24" s="8">
        <v>1550.6</v>
      </c>
      <c r="C24" s="11">
        <f t="shared" si="2"/>
        <v>1574.731691455841</v>
      </c>
      <c r="D24" s="11"/>
      <c r="E24" s="12">
        <f t="shared" si="0"/>
        <v>-24.131691455841064</v>
      </c>
      <c r="F24" s="12">
        <f t="shared" si="3"/>
        <v>24.131691455841064</v>
      </c>
      <c r="G24" s="12">
        <f t="shared" si="4"/>
        <v>582.33853251991263</v>
      </c>
      <c r="H24" s="12">
        <f t="shared" si="1"/>
        <v>1.5562808884200352</v>
      </c>
      <c r="O24" s="1">
        <f t="shared" si="5"/>
        <v>13</v>
      </c>
      <c r="P24" s="1">
        <f>[1]!ACF($E$2:$E$97,O24)</f>
        <v>-9.5701848692118008E-2</v>
      </c>
      <c r="Q24" s="1">
        <f t="shared" si="6"/>
        <v>-0.23945676038897665</v>
      </c>
      <c r="R24" s="1">
        <f>_xlfn.NORM.S.INV(1-$R$8/2)*SQRT((1+2*SUMSQ(P$12:P23))/COUNT($E$2:$E$97))</f>
        <v>0.23945676038897665</v>
      </c>
    </row>
    <row r="25" spans="1:18" x14ac:dyDescent="0.15">
      <c r="A25" s="9">
        <v>42887</v>
      </c>
      <c r="B25" s="8">
        <v>1548.7</v>
      </c>
      <c r="C25" s="11">
        <f t="shared" si="2"/>
        <v>1562.6658457279204</v>
      </c>
      <c r="D25" s="11"/>
      <c r="E25" s="12">
        <f t="shared" si="0"/>
        <v>-13.965845727920396</v>
      </c>
      <c r="F25" s="12">
        <f t="shared" si="3"/>
        <v>13.965845727920396</v>
      </c>
      <c r="G25" s="12">
        <f t="shared" si="4"/>
        <v>195.04484689607236</v>
      </c>
      <c r="H25" s="12">
        <f t="shared" si="1"/>
        <v>0.90177863549560244</v>
      </c>
      <c r="O25" s="1">
        <f t="shared" si="5"/>
        <v>14</v>
      </c>
      <c r="P25" s="1">
        <f>[1]!ACF($E$2:$E$97,O25)</f>
        <v>-0.15498505933784018</v>
      </c>
      <c r="Q25" s="1">
        <f t="shared" si="6"/>
        <v>-0.24098241836264456</v>
      </c>
      <c r="R25" s="1">
        <f>_xlfn.NORM.S.INV(1-$R$8/2)*SQRT((1+2*SUMSQ(P$12:P24))/COUNT($E$2:$E$97))</f>
        <v>0.24098241836264456</v>
      </c>
    </row>
    <row r="26" spans="1:18" x14ac:dyDescent="0.15">
      <c r="A26" s="9">
        <v>42917</v>
      </c>
      <c r="B26" s="8">
        <v>1541.7</v>
      </c>
      <c r="C26" s="11">
        <f t="shared" si="2"/>
        <v>1555.6829228639604</v>
      </c>
      <c r="D26" s="11"/>
      <c r="E26" s="12">
        <f t="shared" si="0"/>
        <v>-13.982922863960312</v>
      </c>
      <c r="F26" s="12">
        <f t="shared" si="3"/>
        <v>13.982922863960312</v>
      </c>
      <c r="G26" s="12">
        <f t="shared" si="4"/>
        <v>195.52213181946405</v>
      </c>
      <c r="H26" s="12">
        <f t="shared" si="1"/>
        <v>0.90698079159112088</v>
      </c>
      <c r="O26" s="1">
        <f t="shared" si="5"/>
        <v>15</v>
      </c>
      <c r="P26" s="1">
        <f>[1]!ACF($E$2:$E$97,O26)</f>
        <v>1.7911267254783509E-3</v>
      </c>
      <c r="Q26" s="1">
        <f t="shared" si="6"/>
        <v>-0.24493853408301652</v>
      </c>
      <c r="R26" s="1">
        <f>_xlfn.NORM.S.INV(1-$R$8/2)*SQRT((1+2*SUMSQ(P$12:P25))/COUNT($E$2:$E$97))</f>
        <v>0.24493853408301652</v>
      </c>
    </row>
    <row r="27" spans="1:18" x14ac:dyDescent="0.15">
      <c r="A27" s="9">
        <v>42948</v>
      </c>
      <c r="B27" s="8">
        <v>1519.8</v>
      </c>
      <c r="C27" s="11">
        <f t="shared" si="2"/>
        <v>1548.6914614319803</v>
      </c>
      <c r="D27" s="11"/>
      <c r="E27" s="12">
        <f t="shared" si="0"/>
        <v>-28.89146143198036</v>
      </c>
      <c r="F27" s="12">
        <f t="shared" si="3"/>
        <v>28.89146143198036</v>
      </c>
      <c r="G27" s="12">
        <f t="shared" si="4"/>
        <v>834.7165436756087</v>
      </c>
      <c r="H27" s="12">
        <f t="shared" si="1"/>
        <v>1.9010041737057746</v>
      </c>
      <c r="O27" s="1">
        <f t="shared" si="5"/>
        <v>16</v>
      </c>
      <c r="P27" s="1">
        <f>[1]!ACF($E$2:$E$97,O27)</f>
        <v>0.16566498914793529</v>
      </c>
      <c r="Q27" s="1">
        <f t="shared" si="6"/>
        <v>-0.24493905819006234</v>
      </c>
      <c r="R27" s="1">
        <f>_xlfn.NORM.S.INV(1-$R$8/2)*SQRT((1+2*SUMSQ(P$12:P26))/COUNT($E$2:$E$97))</f>
        <v>0.24493905819006234</v>
      </c>
    </row>
    <row r="28" spans="1:18" x14ac:dyDescent="0.15">
      <c r="A28" s="9">
        <v>42979</v>
      </c>
      <c r="B28" s="8">
        <v>1557.1</v>
      </c>
      <c r="C28" s="11">
        <f t="shared" si="2"/>
        <v>1534.2457307159902</v>
      </c>
      <c r="D28" s="11"/>
      <c r="E28" s="12">
        <f t="shared" si="0"/>
        <v>22.854269284009661</v>
      </c>
      <c r="F28" s="12">
        <f t="shared" si="3"/>
        <v>22.854269284009661</v>
      </c>
      <c r="G28" s="12">
        <f t="shared" si="4"/>
        <v>522.31762450602741</v>
      </c>
      <c r="H28" s="12">
        <f t="shared" si="1"/>
        <v>1.4677457635353968</v>
      </c>
      <c r="O28" s="1">
        <f t="shared" si="5"/>
        <v>17</v>
      </c>
      <c r="P28" s="1">
        <f>[1]!ACF($E$2:$E$97,O28)</f>
        <v>0.26352932825922387</v>
      </c>
      <c r="Q28" s="1">
        <f t="shared" si="6"/>
        <v>-0.24938237192136248</v>
      </c>
      <c r="R28" s="1">
        <f>_xlfn.NORM.S.INV(1-$R$8/2)*SQRT((1+2*SUMSQ(P$12:P27))/COUNT($E$2:$E$97))</f>
        <v>0.24938237192136248</v>
      </c>
    </row>
    <row r="29" spans="1:18" x14ac:dyDescent="0.15">
      <c r="A29" s="9">
        <v>43009</v>
      </c>
      <c r="B29" s="8">
        <v>1566.8</v>
      </c>
      <c r="C29" s="11">
        <f t="shared" si="2"/>
        <v>1545.6728653579951</v>
      </c>
      <c r="D29" s="11"/>
      <c r="E29" s="12">
        <f t="shared" si="0"/>
        <v>21.127134642004876</v>
      </c>
      <c r="F29" s="12">
        <f t="shared" si="3"/>
        <v>21.127134642004876</v>
      </c>
      <c r="G29" s="12">
        <f t="shared" si="4"/>
        <v>446.35581818140247</v>
      </c>
      <c r="H29" s="12">
        <f t="shared" si="1"/>
        <v>1.348425749425892</v>
      </c>
      <c r="O29" s="1">
        <f t="shared" si="5"/>
        <v>18</v>
      </c>
      <c r="P29" s="1">
        <f>[1]!ACF($E$2:$E$97,O29)</f>
        <v>0.12840605710369932</v>
      </c>
      <c r="Q29" s="1">
        <f t="shared" si="6"/>
        <v>-0.26028733091497869</v>
      </c>
      <c r="R29" s="1">
        <f>_xlfn.NORM.S.INV(1-$R$8/2)*SQRT((1+2*SUMSQ(P$12:P28))/COUNT($E$2:$E$97))</f>
        <v>0.26028733091497869</v>
      </c>
    </row>
    <row r="30" spans="1:18" x14ac:dyDescent="0.15">
      <c r="A30" s="9">
        <v>43040</v>
      </c>
      <c r="B30" s="8">
        <v>1536.8</v>
      </c>
      <c r="C30" s="11">
        <f t="shared" si="2"/>
        <v>1556.2364326789975</v>
      </c>
      <c r="D30" s="11"/>
      <c r="E30" s="12">
        <f t="shared" si="0"/>
        <v>-19.436432678997562</v>
      </c>
      <c r="F30" s="12">
        <f t="shared" si="3"/>
        <v>19.436432678997562</v>
      </c>
      <c r="G30" s="12">
        <f t="shared" si="4"/>
        <v>377.77491528520437</v>
      </c>
      <c r="H30" s="12">
        <f t="shared" si="1"/>
        <v>1.2647340368946878</v>
      </c>
      <c r="O30" s="1">
        <f t="shared" si="5"/>
        <v>19</v>
      </c>
      <c r="P30" s="1">
        <f>[1]!ACF($E$2:$E$97,O30)</f>
        <v>-0.22216339541927446</v>
      </c>
      <c r="Q30" s="1">
        <f t="shared" si="6"/>
        <v>-0.2628099027497553</v>
      </c>
      <c r="R30" s="1">
        <f>_xlfn.NORM.S.INV(1-$R$8/2)*SQRT((1+2*SUMSQ(P$12:P29))/COUNT($E$2:$E$97))</f>
        <v>0.2628099027497553</v>
      </c>
    </row>
    <row r="31" spans="1:18" x14ac:dyDescent="0.15">
      <c r="A31" s="9">
        <v>43070</v>
      </c>
      <c r="B31" s="8">
        <v>1553.1</v>
      </c>
      <c r="C31" s="11">
        <f t="shared" si="2"/>
        <v>1546.5182163394988</v>
      </c>
      <c r="D31" s="11"/>
      <c r="E31" s="12">
        <f t="shared" si="0"/>
        <v>6.5817836605010598</v>
      </c>
      <c r="F31" s="12">
        <f t="shared" si="3"/>
        <v>6.5817836605010598</v>
      </c>
      <c r="G31" s="12">
        <f t="shared" si="4"/>
        <v>43.319876153638731</v>
      </c>
      <c r="H31" s="12">
        <f t="shared" si="1"/>
        <v>0.42378363663003416</v>
      </c>
      <c r="O31" s="1">
        <f t="shared" si="5"/>
        <v>20</v>
      </c>
      <c r="P31" s="1">
        <f>[1]!ACF($E$2:$E$97,O31)</f>
        <v>-7.7287088588435568E-2</v>
      </c>
      <c r="Q31" s="1">
        <f t="shared" si="6"/>
        <v>-0.27022041183875317</v>
      </c>
      <c r="R31" s="1">
        <f>_xlfn.NORM.S.INV(1-$R$8/2)*SQRT((1+2*SUMSQ(P$12:P30))/COUNT($E$2:$E$97))</f>
        <v>0.27022041183875317</v>
      </c>
    </row>
    <row r="32" spans="1:18" x14ac:dyDescent="0.15">
      <c r="A32" s="9">
        <v>43101</v>
      </c>
      <c r="B32" s="8">
        <v>1544.7</v>
      </c>
      <c r="C32" s="11">
        <f t="shared" si="2"/>
        <v>1549.8091081697494</v>
      </c>
      <c r="D32" s="11"/>
      <c r="E32" s="12">
        <f t="shared" si="0"/>
        <v>-5.1091081697493337</v>
      </c>
      <c r="F32" s="12">
        <f t="shared" si="3"/>
        <v>5.1091081697493337</v>
      </c>
      <c r="G32" s="12">
        <f t="shared" si="4"/>
        <v>26.102986290199386</v>
      </c>
      <c r="H32" s="12">
        <f t="shared" si="1"/>
        <v>0.33075083639213654</v>
      </c>
      <c r="O32" s="1">
        <f t="shared" si="5"/>
        <v>21</v>
      </c>
      <c r="P32" s="1">
        <f>[1]!ACF($E$2:$E$97,O32)</f>
        <v>5.6728592517174839E-2</v>
      </c>
      <c r="Q32" s="1">
        <f t="shared" si="6"/>
        <v>-0.27110351535943017</v>
      </c>
      <c r="R32" s="1">
        <f>_xlfn.NORM.S.INV(1-$R$8/2)*SQRT((1+2*SUMSQ(P$12:P31))/COUNT($E$2:$E$97))</f>
        <v>0.27110351535943017</v>
      </c>
    </row>
    <row r="33" spans="1:18" x14ac:dyDescent="0.15">
      <c r="A33" s="9">
        <v>43132</v>
      </c>
      <c r="B33" s="8">
        <v>1547.5</v>
      </c>
      <c r="C33" s="11">
        <f t="shared" si="2"/>
        <v>1547.2545540848746</v>
      </c>
      <c r="D33" s="11"/>
      <c r="E33" s="12">
        <f t="shared" si="0"/>
        <v>0.24544591512540137</v>
      </c>
      <c r="F33" s="12">
        <f t="shared" si="3"/>
        <v>0.24544591512540137</v>
      </c>
      <c r="G33" s="12">
        <f t="shared" si="4"/>
        <v>6.0243697251745734E-2</v>
      </c>
      <c r="H33" s="12">
        <f t="shared" si="1"/>
        <v>1.586080226981592E-2</v>
      </c>
      <c r="O33" s="1">
        <f t="shared" si="5"/>
        <v>22</v>
      </c>
      <c r="P33" s="1">
        <f>[1]!ACF($E$2:$E$97,O33)</f>
        <v>8.1890049271328615E-3</v>
      </c>
      <c r="Q33" s="1">
        <f t="shared" si="6"/>
        <v>-0.27157810018994238</v>
      </c>
      <c r="R33" s="1">
        <f>_xlfn.NORM.S.INV(1-$R$8/2)*SQRT((1+2*SUMSQ(P$12:P32))/COUNT($E$2:$E$97))</f>
        <v>0.27157810018994238</v>
      </c>
    </row>
    <row r="34" spans="1:18" x14ac:dyDescent="0.15">
      <c r="A34" s="9">
        <v>43160</v>
      </c>
      <c r="B34" s="8">
        <v>1548.6</v>
      </c>
      <c r="C34" s="11">
        <f t="shared" si="2"/>
        <v>1547.3772770424373</v>
      </c>
      <c r="D34" s="11"/>
      <c r="E34" s="12">
        <f t="shared" si="0"/>
        <v>1.2227229575626097</v>
      </c>
      <c r="F34" s="12">
        <f t="shared" si="3"/>
        <v>1.2227229575626097</v>
      </c>
      <c r="G34" s="12">
        <f t="shared" si="4"/>
        <v>1.4950514309506555</v>
      </c>
      <c r="H34" s="12">
        <f t="shared" si="1"/>
        <v>7.8956667800762603E-2</v>
      </c>
      <c r="O34" s="1">
        <f t="shared" si="5"/>
        <v>23</v>
      </c>
      <c r="P34" s="1">
        <f>[1]!ACF($E$2:$E$97,O34)</f>
        <v>-9.012067374193888E-3</v>
      </c>
      <c r="Q34" s="1">
        <f t="shared" si="6"/>
        <v>-0.27158798081837526</v>
      </c>
      <c r="R34" s="1">
        <f>_xlfn.NORM.S.INV(1-$R$8/2)*SQRT((1+2*SUMSQ(P$12:P33))/COUNT($E$2:$E$97))</f>
        <v>0.27158798081837526</v>
      </c>
    </row>
    <row r="35" spans="1:18" x14ac:dyDescent="0.15">
      <c r="A35" s="9">
        <v>43191</v>
      </c>
      <c r="B35" s="8">
        <v>1542.1</v>
      </c>
      <c r="C35" s="11">
        <f t="shared" si="2"/>
        <v>1547.9886385212185</v>
      </c>
      <c r="D35" s="11"/>
      <c r="E35" s="12">
        <f t="shared" si="0"/>
        <v>-5.8886385212185814</v>
      </c>
      <c r="F35" s="12">
        <f t="shared" si="3"/>
        <v>5.8886385212185814</v>
      </c>
      <c r="G35" s="12">
        <f t="shared" si="4"/>
        <v>34.676063633579361</v>
      </c>
      <c r="H35" s="12">
        <f t="shared" si="1"/>
        <v>0.38185840874253174</v>
      </c>
      <c r="O35" s="27">
        <f t="shared" si="5"/>
        <v>24</v>
      </c>
      <c r="P35" s="27">
        <f>[1]!ACF($E$2:$E$97,O35)</f>
        <v>1.7797285541211533E-2</v>
      </c>
      <c r="Q35" s="27">
        <f t="shared" si="6"/>
        <v>-0.27159994694777945</v>
      </c>
      <c r="R35" s="27">
        <f>_xlfn.NORM.S.INV(1-$R$8/2)*SQRT((1+2*SUMSQ(P$12:P34))/COUNT($E$2:$E$97))</f>
        <v>0.27159994694777945</v>
      </c>
    </row>
    <row r="36" spans="1:18" x14ac:dyDescent="0.15">
      <c r="A36" s="9">
        <v>43221</v>
      </c>
      <c r="B36" s="8">
        <v>1588.6</v>
      </c>
      <c r="C36" s="11">
        <f t="shared" si="2"/>
        <v>1545.0443192606092</v>
      </c>
      <c r="D36" s="11"/>
      <c r="E36" s="12">
        <f t="shared" si="0"/>
        <v>43.555680739390709</v>
      </c>
      <c r="F36" s="12">
        <f t="shared" si="3"/>
        <v>43.555680739390709</v>
      </c>
      <c r="G36" s="12">
        <f t="shared" si="4"/>
        <v>1897.0973246717308</v>
      </c>
      <c r="H36" s="12">
        <f t="shared" si="1"/>
        <v>2.7417651227112372</v>
      </c>
    </row>
    <row r="37" spans="1:18" x14ac:dyDescent="0.15">
      <c r="A37" s="9">
        <v>43252</v>
      </c>
      <c r="B37" s="8">
        <v>1577.2</v>
      </c>
      <c r="C37" s="11">
        <f t="shared" si="2"/>
        <v>1566.8221596303047</v>
      </c>
      <c r="D37" s="11"/>
      <c r="E37" s="12">
        <f t="shared" si="0"/>
        <v>10.377840369695377</v>
      </c>
      <c r="F37" s="12">
        <f t="shared" si="3"/>
        <v>10.377840369695377</v>
      </c>
      <c r="G37" s="12">
        <f t="shared" si="4"/>
        <v>107.69957073887909</v>
      </c>
      <c r="H37" s="12">
        <f t="shared" si="1"/>
        <v>0.65799140056399807</v>
      </c>
    </row>
    <row r="38" spans="1:18" x14ac:dyDescent="0.15">
      <c r="A38" s="9">
        <v>43282</v>
      </c>
      <c r="B38" s="8">
        <v>1540.7</v>
      </c>
      <c r="C38" s="11">
        <f t="shared" si="2"/>
        <v>1572.0110798151522</v>
      </c>
      <c r="D38" s="11"/>
      <c r="E38" s="12">
        <f t="shared" si="0"/>
        <v>-31.311079815152198</v>
      </c>
      <c r="F38" s="12">
        <f t="shared" si="3"/>
        <v>31.311079815152198</v>
      </c>
      <c r="G38" s="12">
        <f t="shared" si="4"/>
        <v>980.38371919083136</v>
      </c>
      <c r="H38" s="12">
        <f t="shared" si="1"/>
        <v>2.0322632449634708</v>
      </c>
    </row>
    <row r="39" spans="1:18" x14ac:dyDescent="0.15">
      <c r="A39" s="9">
        <v>43313</v>
      </c>
      <c r="B39" s="8">
        <v>1554.6</v>
      </c>
      <c r="C39" s="11">
        <f t="shared" si="2"/>
        <v>1556.3555399075763</v>
      </c>
      <c r="D39" s="11"/>
      <c r="E39" s="12">
        <f t="shared" si="0"/>
        <v>-1.7555399075763489</v>
      </c>
      <c r="F39" s="12">
        <f t="shared" si="3"/>
        <v>1.7555399075763489</v>
      </c>
      <c r="G39" s="12">
        <f t="shared" si="4"/>
        <v>3.0819203670931756</v>
      </c>
      <c r="H39" s="12">
        <f t="shared" si="1"/>
        <v>0.11292550544039297</v>
      </c>
    </row>
    <row r="40" spans="1:18" x14ac:dyDescent="0.15">
      <c r="A40" s="9">
        <v>43344</v>
      </c>
      <c r="B40" s="8">
        <v>1560</v>
      </c>
      <c r="C40" s="11">
        <f t="shared" si="2"/>
        <v>1555.4777699537881</v>
      </c>
      <c r="D40" s="11"/>
      <c r="E40" s="12">
        <f t="shared" si="0"/>
        <v>4.5222300462119165</v>
      </c>
      <c r="F40" s="12">
        <f t="shared" si="3"/>
        <v>4.5222300462119165</v>
      </c>
      <c r="G40" s="12">
        <f t="shared" si="4"/>
        <v>20.450564590861834</v>
      </c>
      <c r="H40" s="12">
        <f t="shared" si="1"/>
        <v>0.28988654142384079</v>
      </c>
    </row>
    <row r="41" spans="1:18" x14ac:dyDescent="0.15">
      <c r="A41" s="9">
        <v>43374</v>
      </c>
      <c r="B41" s="8">
        <v>1565.6</v>
      </c>
      <c r="C41" s="11">
        <f t="shared" si="2"/>
        <v>1557.738884976894</v>
      </c>
      <c r="D41" s="11"/>
      <c r="E41" s="12">
        <f t="shared" si="0"/>
        <v>7.8611150231058673</v>
      </c>
      <c r="F41" s="12">
        <f t="shared" si="3"/>
        <v>7.8611150231058673</v>
      </c>
      <c r="G41" s="12">
        <f t="shared" si="4"/>
        <v>61.797129406500758</v>
      </c>
      <c r="H41" s="12">
        <f t="shared" si="1"/>
        <v>0.50211516499143249</v>
      </c>
    </row>
    <row r="42" spans="1:18" x14ac:dyDescent="0.15">
      <c r="A42" s="9">
        <v>43405</v>
      </c>
      <c r="B42" s="8">
        <v>1537.1</v>
      </c>
      <c r="C42" s="11">
        <f t="shared" si="2"/>
        <v>1561.669442488447</v>
      </c>
      <c r="D42" s="11"/>
      <c r="E42" s="12">
        <f t="shared" si="0"/>
        <v>-24.569442488447066</v>
      </c>
      <c r="F42" s="12">
        <f t="shared" si="3"/>
        <v>24.569442488447066</v>
      </c>
      <c r="G42" s="12">
        <f t="shared" si="4"/>
        <v>603.65750419310802</v>
      </c>
      <c r="H42" s="12">
        <f t="shared" si="1"/>
        <v>1.5984283708572682</v>
      </c>
    </row>
    <row r="43" spans="1:18" x14ac:dyDescent="0.15">
      <c r="A43" s="9">
        <v>43435</v>
      </c>
      <c r="B43" s="8">
        <v>1567.6</v>
      </c>
      <c r="C43" s="11">
        <f t="shared" si="2"/>
        <v>1549.3847212442233</v>
      </c>
      <c r="D43" s="11"/>
      <c r="E43" s="12">
        <f t="shared" si="0"/>
        <v>18.215278755776581</v>
      </c>
      <c r="F43" s="12">
        <f t="shared" si="3"/>
        <v>18.215278755776581</v>
      </c>
      <c r="G43" s="12">
        <f t="shared" si="4"/>
        <v>331.79638015064563</v>
      </c>
      <c r="H43" s="12">
        <f t="shared" si="1"/>
        <v>1.1619851209349694</v>
      </c>
    </row>
    <row r="44" spans="1:18" x14ac:dyDescent="0.15">
      <c r="A44" s="9">
        <v>43466</v>
      </c>
      <c r="B44" s="8">
        <v>1540.1</v>
      </c>
      <c r="C44" s="11">
        <f t="shared" si="2"/>
        <v>1558.4923606221116</v>
      </c>
      <c r="D44" s="11"/>
      <c r="E44" s="12">
        <f t="shared" si="0"/>
        <v>-18.39236062211171</v>
      </c>
      <c r="F44" s="12">
        <f t="shared" si="3"/>
        <v>18.39236062211171</v>
      </c>
      <c r="G44" s="12">
        <f t="shared" si="4"/>
        <v>338.27892925380542</v>
      </c>
      <c r="H44" s="12">
        <f t="shared" si="1"/>
        <v>1.1942315838005135</v>
      </c>
    </row>
    <row r="45" spans="1:18" x14ac:dyDescent="0.15">
      <c r="A45" s="9">
        <v>43497</v>
      </c>
      <c r="B45" s="8">
        <v>1566.3</v>
      </c>
      <c r="C45" s="11">
        <f t="shared" si="2"/>
        <v>1549.2961803110557</v>
      </c>
      <c r="D45" s="11"/>
      <c r="E45" s="12">
        <f t="shared" si="0"/>
        <v>17.003819688944304</v>
      </c>
      <c r="F45" s="12">
        <f t="shared" si="3"/>
        <v>17.003819688944304</v>
      </c>
      <c r="G45" s="12">
        <f t="shared" si="4"/>
        <v>289.12988401412997</v>
      </c>
      <c r="H45" s="12">
        <f t="shared" si="1"/>
        <v>1.0856042705065636</v>
      </c>
    </row>
    <row r="46" spans="1:18" x14ac:dyDescent="0.15">
      <c r="A46" s="9">
        <v>43525</v>
      </c>
      <c r="B46" s="8">
        <v>1535.7</v>
      </c>
      <c r="C46" s="11">
        <f t="shared" si="2"/>
        <v>1557.7980901555279</v>
      </c>
      <c r="D46" s="11"/>
      <c r="E46" s="12">
        <f t="shared" si="0"/>
        <v>-22.098090155527871</v>
      </c>
      <c r="F46" s="12">
        <f t="shared" si="3"/>
        <v>22.098090155527871</v>
      </c>
      <c r="G46" s="12">
        <f t="shared" si="4"/>
        <v>488.3255885218378</v>
      </c>
      <c r="H46" s="12">
        <f t="shared" si="1"/>
        <v>1.4389587911394068</v>
      </c>
    </row>
    <row r="47" spans="1:18" x14ac:dyDescent="0.15">
      <c r="A47" s="9">
        <v>43556</v>
      </c>
      <c r="B47" s="8">
        <v>1565.8</v>
      </c>
      <c r="C47" s="11">
        <f t="shared" si="2"/>
        <v>1546.7490450777641</v>
      </c>
      <c r="D47" s="11"/>
      <c r="E47" s="12">
        <f t="shared" si="0"/>
        <v>19.05095492223586</v>
      </c>
      <c r="F47" s="12">
        <f t="shared" si="3"/>
        <v>19.05095492223586</v>
      </c>
      <c r="G47" s="12">
        <f t="shared" si="4"/>
        <v>362.93888344906276</v>
      </c>
      <c r="H47" s="12">
        <f t="shared" si="1"/>
        <v>1.21669146265397</v>
      </c>
    </row>
    <row r="48" spans="1:18" x14ac:dyDescent="0.15">
      <c r="A48" s="9">
        <v>43586</v>
      </c>
      <c r="B48" s="8">
        <v>1575.7</v>
      </c>
      <c r="C48" s="11">
        <f t="shared" si="2"/>
        <v>1556.2745225388821</v>
      </c>
      <c r="D48" s="11"/>
      <c r="E48" s="12">
        <f t="shared" si="0"/>
        <v>19.425477461117907</v>
      </c>
      <c r="F48" s="12">
        <f t="shared" si="3"/>
        <v>19.425477461117907</v>
      </c>
      <c r="G48" s="12">
        <f t="shared" si="4"/>
        <v>377.34917459239983</v>
      </c>
      <c r="H48" s="12">
        <f t="shared" si="1"/>
        <v>1.2328157302226255</v>
      </c>
    </row>
    <row r="49" spans="1:8" x14ac:dyDescent="0.15">
      <c r="A49" s="9">
        <v>43617</v>
      </c>
      <c r="B49" s="8">
        <v>1570</v>
      </c>
      <c r="C49" s="11">
        <f t="shared" si="2"/>
        <v>1565.9872612694412</v>
      </c>
      <c r="D49" s="11"/>
      <c r="E49" s="12">
        <f t="shared" si="0"/>
        <v>4.0127387305587945</v>
      </c>
      <c r="F49" s="12">
        <f t="shared" si="3"/>
        <v>4.0127387305587945</v>
      </c>
      <c r="G49" s="12">
        <f t="shared" si="4"/>
        <v>16.102072119726607</v>
      </c>
      <c r="H49" s="12">
        <f t="shared" si="1"/>
        <v>0.2555884541757194</v>
      </c>
    </row>
    <row r="50" spans="1:8" x14ac:dyDescent="0.15">
      <c r="A50" s="9">
        <v>43647</v>
      </c>
      <c r="B50" s="8">
        <v>1548.9</v>
      </c>
      <c r="C50" s="11">
        <f t="shared" si="2"/>
        <v>1567.9936306347206</v>
      </c>
      <c r="D50" s="11"/>
      <c r="E50" s="12">
        <f t="shared" si="0"/>
        <v>-19.093630634720512</v>
      </c>
      <c r="F50" s="12">
        <f t="shared" si="3"/>
        <v>19.093630634720512</v>
      </c>
      <c r="G50" s="12">
        <f t="shared" si="4"/>
        <v>364.56673081513759</v>
      </c>
      <c r="H50" s="12">
        <f t="shared" si="1"/>
        <v>1.232721972672252</v>
      </c>
    </row>
    <row r="51" spans="1:8" x14ac:dyDescent="0.15">
      <c r="A51" s="9">
        <v>43678</v>
      </c>
      <c r="B51" s="8">
        <v>1575.1</v>
      </c>
      <c r="C51" s="11">
        <f t="shared" si="2"/>
        <v>1558.4468153173602</v>
      </c>
      <c r="D51" s="11"/>
      <c r="E51" s="12">
        <f t="shared" si="0"/>
        <v>16.653184682639676</v>
      </c>
      <c r="F51" s="12">
        <f t="shared" si="3"/>
        <v>16.653184682639676</v>
      </c>
      <c r="G51" s="12">
        <f t="shared" si="4"/>
        <v>277.3285600741047</v>
      </c>
      <c r="H51" s="12">
        <f t="shared" si="1"/>
        <v>1.0572779304577282</v>
      </c>
    </row>
    <row r="52" spans="1:8" x14ac:dyDescent="0.15">
      <c r="A52" s="9">
        <v>43709</v>
      </c>
      <c r="B52" s="8">
        <v>1576.2</v>
      </c>
      <c r="C52" s="11">
        <f t="shared" si="2"/>
        <v>1566.7734076586801</v>
      </c>
      <c r="D52" s="11"/>
      <c r="E52" s="12">
        <f t="shared" si="0"/>
        <v>9.4265923413199744</v>
      </c>
      <c r="F52" s="12">
        <f t="shared" si="3"/>
        <v>9.4265923413199744</v>
      </c>
      <c r="G52" s="12">
        <f t="shared" si="4"/>
        <v>88.860643169432393</v>
      </c>
      <c r="H52" s="12">
        <f t="shared" si="1"/>
        <v>0.59805813610709135</v>
      </c>
    </row>
    <row r="53" spans="1:8" x14ac:dyDescent="0.15">
      <c r="A53" s="9">
        <v>43739</v>
      </c>
      <c r="B53" s="8">
        <v>1571.7</v>
      </c>
      <c r="C53" s="11">
        <f t="shared" si="2"/>
        <v>1571.4867038293401</v>
      </c>
      <c r="D53" s="11"/>
      <c r="E53" s="12">
        <f t="shared" si="0"/>
        <v>0.21329617065998718</v>
      </c>
      <c r="F53" s="12">
        <f t="shared" si="3"/>
        <v>0.21329617065998718</v>
      </c>
      <c r="G53" s="12">
        <f t="shared" si="4"/>
        <v>4.5495256418214378E-2</v>
      </c>
      <c r="H53" s="12">
        <f t="shared" si="1"/>
        <v>1.3571048588152139E-2</v>
      </c>
    </row>
    <row r="54" spans="1:8" x14ac:dyDescent="0.15">
      <c r="A54" s="9">
        <v>43770</v>
      </c>
      <c r="B54" s="8">
        <v>1580.8</v>
      </c>
      <c r="C54" s="11">
        <f t="shared" si="2"/>
        <v>1571.5933519146702</v>
      </c>
      <c r="D54" s="11"/>
      <c r="E54" s="12">
        <f t="shared" si="0"/>
        <v>9.206648085329789</v>
      </c>
      <c r="F54" s="12">
        <f t="shared" si="3"/>
        <v>9.206648085329789</v>
      </c>
      <c r="G54" s="12">
        <f t="shared" si="4"/>
        <v>84.762368967106667</v>
      </c>
      <c r="H54" s="12">
        <f t="shared" si="1"/>
        <v>0.58240435762460707</v>
      </c>
    </row>
    <row r="55" spans="1:8" x14ac:dyDescent="0.15">
      <c r="A55" s="9">
        <v>43800</v>
      </c>
      <c r="B55" s="8">
        <v>1590.7</v>
      </c>
      <c r="C55" s="11">
        <f t="shared" si="2"/>
        <v>1576.1966759573352</v>
      </c>
      <c r="D55" s="11"/>
      <c r="E55" s="12">
        <f t="shared" si="0"/>
        <v>14.503324042664872</v>
      </c>
      <c r="F55" s="12">
        <f t="shared" si="3"/>
        <v>14.503324042664872</v>
      </c>
      <c r="G55" s="12">
        <f t="shared" si="4"/>
        <v>210.34640828654091</v>
      </c>
      <c r="H55" s="12">
        <f t="shared" si="1"/>
        <v>0.91175734221819771</v>
      </c>
    </row>
    <row r="56" spans="1:8" x14ac:dyDescent="0.15">
      <c r="A56" s="9">
        <v>43831</v>
      </c>
      <c r="B56" s="8">
        <v>1566.5</v>
      </c>
      <c r="C56" s="11">
        <f t="shared" si="2"/>
        <v>1583.4483379786675</v>
      </c>
      <c r="D56" s="11"/>
      <c r="E56" s="12">
        <f t="shared" si="0"/>
        <v>-16.948337978667496</v>
      </c>
      <c r="F56" s="12">
        <f t="shared" si="3"/>
        <v>16.948337978667496</v>
      </c>
      <c r="G56" s="12">
        <f t="shared" si="4"/>
        <v>287.24616023914302</v>
      </c>
      <c r="H56" s="12">
        <f t="shared" si="1"/>
        <v>1.0819239054368015</v>
      </c>
    </row>
    <row r="57" spans="1:8" x14ac:dyDescent="0.15">
      <c r="A57" s="9">
        <v>43862</v>
      </c>
      <c r="B57" s="8">
        <v>1587.1</v>
      </c>
      <c r="C57" s="11">
        <f t="shared" si="2"/>
        <v>1574.9741689893337</v>
      </c>
      <c r="D57" s="11"/>
      <c r="E57" s="12">
        <f t="shared" si="0"/>
        <v>12.125831010666161</v>
      </c>
      <c r="F57" s="12">
        <f t="shared" si="3"/>
        <v>12.125831010666161</v>
      </c>
      <c r="G57" s="12">
        <f t="shared" si="4"/>
        <v>147.03577769923314</v>
      </c>
      <c r="H57" s="12">
        <f t="shared" si="1"/>
        <v>0.76402438476883383</v>
      </c>
    </row>
    <row r="58" spans="1:8" x14ac:dyDescent="0.15">
      <c r="A58" s="9">
        <v>43891</v>
      </c>
      <c r="B58" s="8">
        <v>1426.1</v>
      </c>
      <c r="C58" s="11">
        <f t="shared" si="2"/>
        <v>1581.0370844946669</v>
      </c>
      <c r="D58" s="11"/>
      <c r="E58" s="12">
        <f t="shared" si="0"/>
        <v>-154.93708449466703</v>
      </c>
      <c r="F58" s="12">
        <f t="shared" si="3"/>
        <v>154.93708449466703</v>
      </c>
      <c r="G58" s="12">
        <f t="shared" si="4"/>
        <v>24005.500151707591</v>
      </c>
      <c r="H58" s="12">
        <f t="shared" si="1"/>
        <v>10.864391311595753</v>
      </c>
    </row>
    <row r="59" spans="1:8" x14ac:dyDescent="0.15">
      <c r="A59" s="9">
        <v>43922</v>
      </c>
      <c r="B59" s="8">
        <v>1241.5999999999999</v>
      </c>
      <c r="C59" s="11">
        <f t="shared" si="2"/>
        <v>1503.5685422473334</v>
      </c>
      <c r="D59" s="11"/>
      <c r="E59" s="12">
        <f t="shared" si="0"/>
        <v>-261.96854224733352</v>
      </c>
      <c r="F59" s="12">
        <f t="shared" si="3"/>
        <v>261.96854224733352</v>
      </c>
      <c r="G59" s="12">
        <f t="shared" si="4"/>
        <v>68627.517127192972</v>
      </c>
      <c r="H59" s="12">
        <f t="shared" si="1"/>
        <v>21.099270477394779</v>
      </c>
    </row>
    <row r="60" spans="1:8" x14ac:dyDescent="0.15">
      <c r="A60" s="9">
        <v>43952</v>
      </c>
      <c r="B60" s="8">
        <v>1751.8</v>
      </c>
      <c r="C60" s="11">
        <f t="shared" si="2"/>
        <v>1372.5842711236667</v>
      </c>
      <c r="D60" s="11"/>
      <c r="E60" s="12">
        <f t="shared" si="0"/>
        <v>379.21572887633329</v>
      </c>
      <c r="F60" s="12">
        <f t="shared" si="3"/>
        <v>379.21572887633329</v>
      </c>
      <c r="G60" s="12">
        <f t="shared" si="4"/>
        <v>143804.56902720872</v>
      </c>
      <c r="H60" s="12">
        <f t="shared" si="1"/>
        <v>21.647204525421468</v>
      </c>
    </row>
    <row r="61" spans="1:8" x14ac:dyDescent="0.15">
      <c r="A61" s="9">
        <v>43983</v>
      </c>
      <c r="B61" s="8">
        <v>1574.8</v>
      </c>
      <c r="C61" s="11">
        <f t="shared" si="2"/>
        <v>1562.1921355618333</v>
      </c>
      <c r="D61" s="11"/>
      <c r="E61" s="12">
        <f t="shared" si="0"/>
        <v>12.607864438166644</v>
      </c>
      <c r="F61" s="12">
        <f t="shared" si="3"/>
        <v>12.607864438166644</v>
      </c>
      <c r="G61" s="12">
        <f t="shared" si="4"/>
        <v>158.9582456911871</v>
      </c>
      <c r="H61" s="12">
        <f t="shared" si="1"/>
        <v>0.80060099302556798</v>
      </c>
    </row>
    <row r="62" spans="1:8" x14ac:dyDescent="0.15">
      <c r="A62" s="9">
        <v>44013</v>
      </c>
      <c r="B62" s="8">
        <v>1630.6</v>
      </c>
      <c r="C62" s="11">
        <f t="shared" si="2"/>
        <v>1568.4960677809167</v>
      </c>
      <c r="D62" s="11"/>
      <c r="E62" s="12">
        <f t="shared" si="0"/>
        <v>62.103932219083163</v>
      </c>
      <c r="F62" s="12">
        <f t="shared" si="3"/>
        <v>62.103932219083163</v>
      </c>
      <c r="G62" s="12">
        <f t="shared" si="4"/>
        <v>3856.8983970724757</v>
      </c>
      <c r="H62" s="12">
        <f t="shared" si="1"/>
        <v>3.8086552323735532</v>
      </c>
    </row>
    <row r="63" spans="1:8" x14ac:dyDescent="0.15">
      <c r="A63" s="9">
        <v>44044</v>
      </c>
      <c r="B63" s="8">
        <v>1470.1</v>
      </c>
      <c r="C63" s="11">
        <f t="shared" si="2"/>
        <v>1599.5480338904583</v>
      </c>
      <c r="D63" s="11"/>
      <c r="E63" s="12">
        <f t="shared" si="0"/>
        <v>-129.44803389045842</v>
      </c>
      <c r="F63" s="12">
        <f t="shared" si="3"/>
        <v>129.44803389045842</v>
      </c>
      <c r="G63" s="12">
        <f t="shared" si="4"/>
        <v>16756.793478105272</v>
      </c>
      <c r="H63" s="12">
        <f t="shared" si="1"/>
        <v>8.8053896939295573</v>
      </c>
    </row>
    <row r="64" spans="1:8" x14ac:dyDescent="0.15">
      <c r="A64" s="9">
        <v>44075</v>
      </c>
      <c r="B64" s="8">
        <v>1466.6</v>
      </c>
      <c r="C64" s="11">
        <f t="shared" si="2"/>
        <v>1534.8240169452292</v>
      </c>
      <c r="D64" s="11"/>
      <c r="E64" s="12">
        <f t="shared" si="0"/>
        <v>-68.224016945229323</v>
      </c>
      <c r="F64" s="12">
        <f t="shared" si="3"/>
        <v>68.224016945229323</v>
      </c>
      <c r="G64" s="12">
        <f t="shared" si="4"/>
        <v>4654.5164881429382</v>
      </c>
      <c r="H64" s="12">
        <f t="shared" si="1"/>
        <v>4.6518489666732119</v>
      </c>
    </row>
    <row r="65" spans="1:8" x14ac:dyDescent="0.15">
      <c r="A65" s="9">
        <v>44105</v>
      </c>
      <c r="B65" s="8">
        <v>1590.5</v>
      </c>
      <c r="C65" s="11">
        <f t="shared" si="2"/>
        <v>1500.7120084726146</v>
      </c>
      <c r="D65" s="11"/>
      <c r="E65" s="12">
        <f t="shared" si="0"/>
        <v>89.787991527385429</v>
      </c>
      <c r="F65" s="12">
        <f t="shared" si="3"/>
        <v>89.787991527385429</v>
      </c>
      <c r="G65" s="12">
        <f t="shared" si="4"/>
        <v>8061.8834225218379</v>
      </c>
      <c r="H65" s="12">
        <f t="shared" si="1"/>
        <v>5.6452682507001217</v>
      </c>
    </row>
    <row r="66" spans="1:8" x14ac:dyDescent="0.15">
      <c r="A66" s="9">
        <v>44136</v>
      </c>
      <c r="B66" s="8">
        <v>1809</v>
      </c>
      <c r="C66" s="11">
        <f t="shared" si="2"/>
        <v>1545.6060042363074</v>
      </c>
      <c r="D66" s="11"/>
      <c r="E66" s="12">
        <f t="shared" ref="E66:E97" si="7">B66-C66</f>
        <v>263.3939957636926</v>
      </c>
      <c r="F66" s="12">
        <f t="shared" si="3"/>
        <v>263.3939957636926</v>
      </c>
      <c r="G66" s="12">
        <f t="shared" si="4"/>
        <v>69376.397004364117</v>
      </c>
      <c r="H66" s="12">
        <f t="shared" ref="H66:H97" si="8">(F66/B66)*100</f>
        <v>14.56019877079561</v>
      </c>
    </row>
    <row r="67" spans="1:8" x14ac:dyDescent="0.15">
      <c r="A67" s="9">
        <v>44166</v>
      </c>
      <c r="B67" s="8">
        <v>1701</v>
      </c>
      <c r="C67" s="11">
        <f t="shared" ref="C67:C97" si="9">$L$2*B66+(1-$L$2)*C66</f>
        <v>1677.3030021181537</v>
      </c>
      <c r="D67" s="11"/>
      <c r="E67" s="12">
        <f t="shared" si="7"/>
        <v>23.696997881846301</v>
      </c>
      <c r="F67" s="12">
        <f t="shared" ref="F67:F96" si="10">ABS(E67)</f>
        <v>23.696997881846301</v>
      </c>
      <c r="G67" s="12">
        <f t="shared" si="4"/>
        <v>561.54770861222801</v>
      </c>
      <c r="H67" s="12">
        <f t="shared" si="8"/>
        <v>1.3931215685976661</v>
      </c>
    </row>
    <row r="68" spans="1:8" x14ac:dyDescent="0.15">
      <c r="A68" s="9">
        <v>44197</v>
      </c>
      <c r="B68" s="8">
        <v>1678</v>
      </c>
      <c r="C68" s="11">
        <f t="shared" si="9"/>
        <v>1689.151501059077</v>
      </c>
      <c r="D68" s="11"/>
      <c r="E68" s="12">
        <f t="shared" si="7"/>
        <v>-11.151501059076963</v>
      </c>
      <c r="F68" s="12">
        <f t="shared" si="10"/>
        <v>11.151501059076963</v>
      </c>
      <c r="G68" s="12">
        <f t="shared" ref="G68:G96" si="11">E68*E68</f>
        <v>124.35597587059463</v>
      </c>
      <c r="H68" s="12">
        <f t="shared" si="8"/>
        <v>0.66457098087467004</v>
      </c>
    </row>
    <row r="69" spans="1:8" x14ac:dyDescent="0.15">
      <c r="A69" s="9">
        <v>44228</v>
      </c>
      <c r="B69" s="8">
        <v>1672.8</v>
      </c>
      <c r="C69" s="11">
        <f t="shared" si="9"/>
        <v>1683.5757505295385</v>
      </c>
      <c r="D69" s="11"/>
      <c r="E69" s="12">
        <f t="shared" si="7"/>
        <v>-10.775750529538527</v>
      </c>
      <c r="F69" s="12">
        <f t="shared" si="10"/>
        <v>10.775750529538527</v>
      </c>
      <c r="G69" s="12">
        <f t="shared" si="11"/>
        <v>116.11679947484986</v>
      </c>
      <c r="H69" s="12">
        <f t="shared" si="8"/>
        <v>0.64417446972372838</v>
      </c>
    </row>
    <row r="70" spans="1:8" x14ac:dyDescent="0.15">
      <c r="A70" s="9">
        <v>44256</v>
      </c>
      <c r="B70" s="8">
        <v>1786.1</v>
      </c>
      <c r="C70" s="11">
        <f t="shared" si="9"/>
        <v>1678.1878752647692</v>
      </c>
      <c r="D70" s="11"/>
      <c r="E70" s="12">
        <f t="shared" si="7"/>
        <v>107.91212473523069</v>
      </c>
      <c r="F70" s="12">
        <f t="shared" si="10"/>
        <v>107.91212473523069</v>
      </c>
      <c r="G70" s="12">
        <f t="shared" si="11"/>
        <v>11645.026664871988</v>
      </c>
      <c r="H70" s="12">
        <f t="shared" si="8"/>
        <v>6.0417739619971274</v>
      </c>
    </row>
    <row r="71" spans="1:8" x14ac:dyDescent="0.15">
      <c r="A71" s="9">
        <v>44287</v>
      </c>
      <c r="B71" s="8">
        <v>1713.6</v>
      </c>
      <c r="C71" s="11">
        <f t="shared" si="9"/>
        <v>1732.1439376323847</v>
      </c>
      <c r="D71" s="11"/>
      <c r="E71" s="12">
        <f t="shared" si="7"/>
        <v>-18.543937632384768</v>
      </c>
      <c r="F71" s="12">
        <f t="shared" si="10"/>
        <v>18.543937632384768</v>
      </c>
      <c r="G71" s="12">
        <f t="shared" si="11"/>
        <v>343.87762291377601</v>
      </c>
      <c r="H71" s="12">
        <f t="shared" si="8"/>
        <v>1.0821625602465434</v>
      </c>
    </row>
    <row r="72" spans="1:8" x14ac:dyDescent="0.15">
      <c r="A72" s="9">
        <v>44317</v>
      </c>
      <c r="B72" s="8">
        <v>1673</v>
      </c>
      <c r="C72" s="11">
        <f t="shared" si="9"/>
        <v>1722.8719688161923</v>
      </c>
      <c r="D72" s="11"/>
      <c r="E72" s="12">
        <f t="shared" si="7"/>
        <v>-49.871968816192293</v>
      </c>
      <c r="F72" s="12">
        <f t="shared" si="10"/>
        <v>49.871968816192293</v>
      </c>
      <c r="G72" s="12">
        <f t="shared" si="11"/>
        <v>2487.2132736032563</v>
      </c>
      <c r="H72" s="12">
        <f t="shared" si="8"/>
        <v>2.9809903655823247</v>
      </c>
    </row>
    <row r="73" spans="1:8" x14ac:dyDescent="0.15">
      <c r="A73" s="9">
        <v>44348</v>
      </c>
      <c r="B73" s="8">
        <v>1566.2</v>
      </c>
      <c r="C73" s="11">
        <f t="shared" si="9"/>
        <v>1697.9359844080961</v>
      </c>
      <c r="D73" s="11"/>
      <c r="E73" s="12">
        <f t="shared" si="7"/>
        <v>-131.7359844080961</v>
      </c>
      <c r="F73" s="12">
        <f t="shared" si="10"/>
        <v>131.7359844080961</v>
      </c>
      <c r="G73" s="12">
        <f t="shared" si="11"/>
        <v>17354.369587970141</v>
      </c>
      <c r="H73" s="12">
        <f t="shared" si="8"/>
        <v>8.4111853152915401</v>
      </c>
    </row>
    <row r="74" spans="1:8" x14ac:dyDescent="0.15">
      <c r="A74" s="9">
        <v>44378</v>
      </c>
      <c r="B74" s="8">
        <v>1395.6</v>
      </c>
      <c r="C74" s="11">
        <f t="shared" si="9"/>
        <v>1632.0679922040481</v>
      </c>
      <c r="D74" s="11"/>
      <c r="E74" s="12">
        <f t="shared" si="7"/>
        <v>-236.46799220404819</v>
      </c>
      <c r="F74" s="12">
        <f t="shared" si="10"/>
        <v>236.46799220404819</v>
      </c>
      <c r="G74" s="12">
        <f t="shared" si="11"/>
        <v>55917.111337013797</v>
      </c>
      <c r="H74" s="12">
        <f t="shared" si="8"/>
        <v>16.943822886503884</v>
      </c>
    </row>
    <row r="75" spans="1:8" x14ac:dyDescent="0.15">
      <c r="A75" s="9">
        <v>44409</v>
      </c>
      <c r="B75" s="8">
        <v>1221.2</v>
      </c>
      <c r="C75" s="11">
        <f t="shared" si="9"/>
        <v>1513.833996102024</v>
      </c>
      <c r="D75" s="11"/>
      <c r="E75" s="12">
        <f t="shared" si="7"/>
        <v>-292.63399610202396</v>
      </c>
      <c r="F75" s="12">
        <f t="shared" si="10"/>
        <v>292.63399610202396</v>
      </c>
      <c r="G75" s="12">
        <f t="shared" si="11"/>
        <v>85634.655674639376</v>
      </c>
      <c r="H75" s="12">
        <f t="shared" si="8"/>
        <v>23.962823133149687</v>
      </c>
    </row>
    <row r="76" spans="1:8" x14ac:dyDescent="0.15">
      <c r="A76" s="9">
        <v>44440</v>
      </c>
      <c r="B76" s="8">
        <v>1234.5</v>
      </c>
      <c r="C76" s="11">
        <f t="shared" si="9"/>
        <v>1367.516998051012</v>
      </c>
      <c r="D76" s="11"/>
      <c r="E76" s="12">
        <f t="shared" si="7"/>
        <v>-133.01699805101202</v>
      </c>
      <c r="F76" s="12">
        <f t="shared" si="10"/>
        <v>133.01699805101202</v>
      </c>
      <c r="G76" s="12">
        <f t="shared" si="11"/>
        <v>17693.521770502935</v>
      </c>
      <c r="H76" s="12">
        <f t="shared" si="8"/>
        <v>10.774969465452573</v>
      </c>
    </row>
    <row r="77" spans="1:8" x14ac:dyDescent="0.15">
      <c r="A77" s="9">
        <v>44470</v>
      </c>
      <c r="B77" s="8">
        <v>1525.4</v>
      </c>
      <c r="C77" s="11">
        <f t="shared" si="9"/>
        <v>1301.0084990255059</v>
      </c>
      <c r="D77" s="11"/>
      <c r="E77" s="12">
        <f t="shared" si="7"/>
        <v>224.39150097449419</v>
      </c>
      <c r="F77" s="12">
        <f t="shared" si="10"/>
        <v>224.39150097449419</v>
      </c>
      <c r="G77" s="12">
        <f t="shared" si="11"/>
        <v>50351.545709586426</v>
      </c>
      <c r="H77" s="12">
        <f t="shared" si="8"/>
        <v>14.710338335813175</v>
      </c>
    </row>
    <row r="78" spans="1:8" x14ac:dyDescent="0.15">
      <c r="A78" s="9">
        <v>44501</v>
      </c>
      <c r="B78" s="8">
        <v>1800.2</v>
      </c>
      <c r="C78" s="11">
        <f t="shared" si="9"/>
        <v>1413.204249512753</v>
      </c>
      <c r="D78" s="11"/>
      <c r="E78" s="12">
        <f t="shared" si="7"/>
        <v>386.99575048724705</v>
      </c>
      <c r="F78" s="12">
        <f t="shared" si="10"/>
        <v>386.99575048724705</v>
      </c>
      <c r="G78" s="12">
        <f t="shared" si="11"/>
        <v>149765.71089518757</v>
      </c>
      <c r="H78" s="12">
        <f t="shared" si="8"/>
        <v>21.497375318700534</v>
      </c>
    </row>
    <row r="79" spans="1:8" x14ac:dyDescent="0.15">
      <c r="A79" s="9">
        <v>44531</v>
      </c>
      <c r="B79" s="8">
        <v>1582.7</v>
      </c>
      <c r="C79" s="11">
        <f t="shared" si="9"/>
        <v>1606.7021247563766</v>
      </c>
      <c r="D79" s="11"/>
      <c r="E79" s="12">
        <f t="shared" si="7"/>
        <v>-24.002124756376588</v>
      </c>
      <c r="F79" s="12">
        <f t="shared" si="10"/>
        <v>24.002124756376588</v>
      </c>
      <c r="G79" s="12">
        <f t="shared" si="11"/>
        <v>576.10199282066594</v>
      </c>
      <c r="H79" s="12">
        <f t="shared" si="8"/>
        <v>1.5165302809361589</v>
      </c>
    </row>
    <row r="80" spans="1:8" x14ac:dyDescent="0.15">
      <c r="A80" s="9">
        <v>44562</v>
      </c>
      <c r="B80" s="8">
        <v>1629.3</v>
      </c>
      <c r="C80" s="11">
        <f t="shared" si="9"/>
        <v>1594.7010623781885</v>
      </c>
      <c r="D80" s="11"/>
      <c r="E80" s="12">
        <f t="shared" si="7"/>
        <v>34.598937621811501</v>
      </c>
      <c r="F80" s="12">
        <f t="shared" si="10"/>
        <v>34.598937621811501</v>
      </c>
      <c r="G80" s="12">
        <f t="shared" si="11"/>
        <v>1197.0864845580033</v>
      </c>
      <c r="H80" s="12">
        <f t="shared" si="8"/>
        <v>2.12354616226671</v>
      </c>
    </row>
    <row r="81" spans="1:8" x14ac:dyDescent="0.15">
      <c r="A81" s="9">
        <v>44593</v>
      </c>
      <c r="B81" s="8">
        <v>1752.4</v>
      </c>
      <c r="C81" s="11">
        <f t="shared" si="9"/>
        <v>1612.0005311890941</v>
      </c>
      <c r="D81" s="11"/>
      <c r="E81" s="12">
        <f t="shared" si="7"/>
        <v>140.399468810906</v>
      </c>
      <c r="F81" s="12">
        <f t="shared" si="10"/>
        <v>140.399468810906</v>
      </c>
      <c r="G81" s="12">
        <f t="shared" si="11"/>
        <v>19712.010842384567</v>
      </c>
      <c r="H81" s="12">
        <f t="shared" si="8"/>
        <v>8.0118391241101339</v>
      </c>
    </row>
    <row r="82" spans="1:8" x14ac:dyDescent="0.15">
      <c r="A82" s="9">
        <v>44621</v>
      </c>
      <c r="B82" s="8">
        <v>1801.2</v>
      </c>
      <c r="C82" s="11">
        <f t="shared" si="9"/>
        <v>1682.2002655945471</v>
      </c>
      <c r="D82" s="11"/>
      <c r="E82" s="12">
        <f t="shared" si="7"/>
        <v>118.99973440545295</v>
      </c>
      <c r="F82" s="12">
        <f t="shared" si="10"/>
        <v>118.99973440545295</v>
      </c>
      <c r="G82" s="12">
        <f t="shared" si="11"/>
        <v>14160.936788568344</v>
      </c>
      <c r="H82" s="12">
        <f t="shared" si="8"/>
        <v>6.6066918945954329</v>
      </c>
    </row>
    <row r="83" spans="1:8" x14ac:dyDescent="0.15">
      <c r="A83" s="9">
        <v>44652</v>
      </c>
      <c r="B83" s="8">
        <v>1800.1</v>
      </c>
      <c r="C83" s="11">
        <f t="shared" si="9"/>
        <v>1741.7001327972735</v>
      </c>
      <c r="D83" s="11"/>
      <c r="E83" s="12">
        <f t="shared" si="7"/>
        <v>58.399867202726455</v>
      </c>
      <c r="F83" s="12">
        <f t="shared" si="10"/>
        <v>58.399867202726455</v>
      </c>
      <c r="G83" s="12">
        <f t="shared" si="11"/>
        <v>3410.544489296085</v>
      </c>
      <c r="H83" s="12">
        <f t="shared" si="8"/>
        <v>3.2442568303275623</v>
      </c>
    </row>
    <row r="84" spans="1:8" x14ac:dyDescent="0.15">
      <c r="A84" s="9">
        <v>44682</v>
      </c>
      <c r="B84" s="8">
        <v>1843.7</v>
      </c>
      <c r="C84" s="11">
        <f t="shared" si="9"/>
        <v>1770.9000663986367</v>
      </c>
      <c r="D84" s="11"/>
      <c r="E84" s="12">
        <f t="shared" si="7"/>
        <v>72.799933601363364</v>
      </c>
      <c r="F84" s="12">
        <f t="shared" si="10"/>
        <v>72.799933601363364</v>
      </c>
      <c r="G84" s="12">
        <f t="shared" si="11"/>
        <v>5299.8303323629143</v>
      </c>
      <c r="H84" s="12">
        <f t="shared" si="8"/>
        <v>3.9485780550720486</v>
      </c>
    </row>
    <row r="85" spans="1:8" x14ac:dyDescent="0.15">
      <c r="A85" s="9">
        <v>44713</v>
      </c>
      <c r="B85" s="8">
        <v>1851.2</v>
      </c>
      <c r="C85" s="11">
        <f t="shared" si="9"/>
        <v>1807.3000331993185</v>
      </c>
      <c r="D85" s="11"/>
      <c r="E85" s="12">
        <f t="shared" si="7"/>
        <v>43.899966800681568</v>
      </c>
      <c r="F85" s="12">
        <f t="shared" si="10"/>
        <v>43.899966800681568</v>
      </c>
      <c r="G85" s="12">
        <f t="shared" si="11"/>
        <v>1927.2070851009439</v>
      </c>
      <c r="H85" s="12">
        <f t="shared" si="8"/>
        <v>2.3714329516357804</v>
      </c>
    </row>
    <row r="86" spans="1:8" x14ac:dyDescent="0.15">
      <c r="A86" s="9">
        <v>44743</v>
      </c>
      <c r="B86" s="8">
        <v>1870.1</v>
      </c>
      <c r="C86" s="11">
        <f t="shared" si="9"/>
        <v>1829.2500165996594</v>
      </c>
      <c r="D86" s="11"/>
      <c r="E86" s="12">
        <f t="shared" si="7"/>
        <v>40.849983400340534</v>
      </c>
      <c r="F86" s="12">
        <f t="shared" si="10"/>
        <v>40.849983400340534</v>
      </c>
      <c r="G86" s="12">
        <f t="shared" si="11"/>
        <v>1668.7211438080972</v>
      </c>
      <c r="H86" s="12">
        <f t="shared" si="8"/>
        <v>2.1843742794685062</v>
      </c>
    </row>
    <row r="87" spans="1:8" x14ac:dyDescent="0.15">
      <c r="A87" s="9">
        <v>44774</v>
      </c>
      <c r="B87" s="8">
        <v>1893.2</v>
      </c>
      <c r="C87" s="11">
        <f t="shared" si="9"/>
        <v>1849.6750082998296</v>
      </c>
      <c r="D87" s="11"/>
      <c r="E87" s="12">
        <f t="shared" si="7"/>
        <v>43.524991700170403</v>
      </c>
      <c r="F87" s="12">
        <f t="shared" si="10"/>
        <v>43.524991700170403</v>
      </c>
      <c r="G87" s="12">
        <f t="shared" si="11"/>
        <v>1894.4249024999026</v>
      </c>
      <c r="H87" s="12">
        <f t="shared" si="8"/>
        <v>2.2990170980440738</v>
      </c>
    </row>
    <row r="88" spans="1:8" x14ac:dyDescent="0.15">
      <c r="A88" s="9">
        <v>44805</v>
      </c>
      <c r="B88" s="8">
        <v>1887.9</v>
      </c>
      <c r="C88" s="11">
        <f t="shared" si="9"/>
        <v>1871.4375041499147</v>
      </c>
      <c r="D88" s="11"/>
      <c r="E88" s="12">
        <f t="shared" si="7"/>
        <v>16.462495850085361</v>
      </c>
      <c r="F88" s="12">
        <f t="shared" si="10"/>
        <v>16.462495850085361</v>
      </c>
      <c r="G88" s="12">
        <f t="shared" si="11"/>
        <v>271.01376961407772</v>
      </c>
      <c r="H88" s="12">
        <f t="shared" si="8"/>
        <v>0.87200041581044341</v>
      </c>
    </row>
    <row r="89" spans="1:8" x14ac:dyDescent="0.15">
      <c r="A89" s="9">
        <v>44835</v>
      </c>
      <c r="B89" s="8">
        <v>1895.8</v>
      </c>
      <c r="C89" s="11">
        <f t="shared" si="9"/>
        <v>1879.6687520749574</v>
      </c>
      <c r="D89" s="11"/>
      <c r="E89" s="12">
        <f t="shared" si="7"/>
        <v>16.131247925042544</v>
      </c>
      <c r="F89" s="12">
        <f t="shared" si="10"/>
        <v>16.131247925042544</v>
      </c>
      <c r="G89" s="12">
        <f t="shared" si="11"/>
        <v>260.21715961918937</v>
      </c>
      <c r="H89" s="12">
        <f t="shared" si="8"/>
        <v>0.85089397220395324</v>
      </c>
    </row>
    <row r="90" spans="1:8" x14ac:dyDescent="0.15">
      <c r="A90" s="9">
        <v>44866</v>
      </c>
      <c r="B90" s="8">
        <v>1908.3</v>
      </c>
      <c r="C90" s="11">
        <f t="shared" si="9"/>
        <v>1887.7343760374788</v>
      </c>
      <c r="D90" s="11"/>
      <c r="E90" s="12">
        <f t="shared" si="7"/>
        <v>20.565623962521158</v>
      </c>
      <c r="F90" s="12">
        <f t="shared" si="10"/>
        <v>20.565623962521158</v>
      </c>
      <c r="G90" s="12">
        <f t="shared" si="11"/>
        <v>422.94488896782445</v>
      </c>
      <c r="H90" s="12">
        <f t="shared" si="8"/>
        <v>1.0776934424629858</v>
      </c>
    </row>
    <row r="91" spans="1:8" x14ac:dyDescent="0.15">
      <c r="A91" s="9">
        <v>44896</v>
      </c>
      <c r="B91" s="8">
        <v>1772.8</v>
      </c>
      <c r="C91" s="11">
        <f t="shared" si="9"/>
        <v>1898.0171880187395</v>
      </c>
      <c r="D91" s="11"/>
      <c r="E91" s="12">
        <f t="shared" si="7"/>
        <v>-125.21718801873953</v>
      </c>
      <c r="F91" s="12">
        <f t="shared" si="10"/>
        <v>125.21718801873953</v>
      </c>
      <c r="G91" s="12">
        <f t="shared" si="11"/>
        <v>15679.344175320368</v>
      </c>
      <c r="H91" s="12">
        <f t="shared" si="8"/>
        <v>7.063243908999298</v>
      </c>
    </row>
    <row r="92" spans="1:8" x14ac:dyDescent="0.15">
      <c r="A92" s="16">
        <v>44927</v>
      </c>
      <c r="B92" s="8">
        <v>1901.5</v>
      </c>
      <c r="C92" s="15">
        <f t="shared" si="9"/>
        <v>1835.4085940093696</v>
      </c>
      <c r="D92" s="11"/>
      <c r="E92" s="12">
        <f t="shared" si="7"/>
        <v>66.091405990630392</v>
      </c>
      <c r="F92" s="12">
        <f t="shared" si="10"/>
        <v>66.091405990630392</v>
      </c>
      <c r="G92" s="12">
        <f t="shared" si="11"/>
        <v>4368.0739458183352</v>
      </c>
      <c r="H92" s="12">
        <f t="shared" si="8"/>
        <v>3.4757510381609467</v>
      </c>
    </row>
    <row r="93" spans="1:8" x14ac:dyDescent="0.15">
      <c r="A93" s="9">
        <v>44958</v>
      </c>
      <c r="B93" s="8">
        <v>1882.1</v>
      </c>
      <c r="C93" s="11">
        <f t="shared" si="9"/>
        <v>1868.4542970046848</v>
      </c>
      <c r="D93" s="11"/>
      <c r="E93" s="12">
        <f t="shared" si="7"/>
        <v>13.645702995315105</v>
      </c>
      <c r="F93" s="12">
        <f t="shared" si="10"/>
        <v>13.645702995315105</v>
      </c>
      <c r="G93" s="12">
        <f t="shared" si="11"/>
        <v>186.20521023635163</v>
      </c>
      <c r="H93" s="12">
        <f t="shared" si="8"/>
        <v>0.72502539691382528</v>
      </c>
    </row>
    <row r="94" spans="1:8" x14ac:dyDescent="0.15">
      <c r="A94" s="9">
        <v>44986</v>
      </c>
      <c r="B94" s="8">
        <v>1896.2</v>
      </c>
      <c r="C94" s="11">
        <f t="shared" si="9"/>
        <v>1875.2771485023422</v>
      </c>
      <c r="D94" s="11"/>
      <c r="E94" s="12">
        <f t="shared" si="7"/>
        <v>20.922851497657803</v>
      </c>
      <c r="F94" s="12">
        <f t="shared" si="10"/>
        <v>20.922851497657803</v>
      </c>
      <c r="G94" s="12">
        <f t="shared" si="11"/>
        <v>437.76571479304135</v>
      </c>
      <c r="H94" s="12">
        <f t="shared" si="8"/>
        <v>1.1034095294619661</v>
      </c>
    </row>
    <row r="95" spans="1:8" x14ac:dyDescent="0.15">
      <c r="A95" s="9">
        <v>45017</v>
      </c>
      <c r="B95" s="8">
        <v>1915.5</v>
      </c>
      <c r="C95" s="11">
        <f t="shared" si="9"/>
        <v>1885.738574251171</v>
      </c>
      <c r="D95" s="11"/>
      <c r="E95" s="12">
        <f t="shared" si="7"/>
        <v>29.76142574882897</v>
      </c>
      <c r="F95" s="12">
        <f t="shared" si="10"/>
        <v>29.76142574882897</v>
      </c>
      <c r="G95" s="12">
        <f t="shared" si="11"/>
        <v>885.74246260305995</v>
      </c>
      <c r="H95" s="12">
        <f t="shared" si="8"/>
        <v>1.5537157791087952</v>
      </c>
    </row>
    <row r="96" spans="1:8" x14ac:dyDescent="0.15">
      <c r="A96" s="9">
        <v>45047</v>
      </c>
      <c r="B96" s="8">
        <v>1904.8</v>
      </c>
      <c r="C96" s="11">
        <f t="shared" si="9"/>
        <v>1900.6192871255855</v>
      </c>
      <c r="D96" s="11"/>
      <c r="E96" s="12">
        <f t="shared" si="7"/>
        <v>4.1807128744144393</v>
      </c>
      <c r="F96" s="12">
        <f t="shared" si="10"/>
        <v>4.1807128744144393</v>
      </c>
      <c r="G96" s="12">
        <f t="shared" si="11"/>
        <v>17.478360138294644</v>
      </c>
      <c r="H96" s="12">
        <f t="shared" si="8"/>
        <v>0.21948303624603313</v>
      </c>
    </row>
    <row r="97" spans="1:8" x14ac:dyDescent="0.15">
      <c r="A97" s="9">
        <v>45078</v>
      </c>
      <c r="B97" s="8">
        <v>1814.1</v>
      </c>
      <c r="C97" s="11">
        <f t="shared" si="9"/>
        <v>1902.7096435627927</v>
      </c>
      <c r="D97" s="11">
        <f>C97</f>
        <v>1902.7096435627927</v>
      </c>
      <c r="E97" s="12">
        <f t="shared" si="7"/>
        <v>-88.609643562792826</v>
      </c>
      <c r="F97" s="12">
        <f>ABS(E97)</f>
        <v>88.609643562792826</v>
      </c>
      <c r="G97" s="12">
        <f>E97*E97</f>
        <v>7851.6689323251921</v>
      </c>
      <c r="H97" s="12">
        <f t="shared" si="8"/>
        <v>4.8844960896749257</v>
      </c>
    </row>
    <row r="98" spans="1:8" x14ac:dyDescent="0.15">
      <c r="A98" s="9">
        <v>45108</v>
      </c>
      <c r="C98" s="11"/>
      <c r="D98" s="11">
        <f>$L$2*B97+(1-$L$2)*C97</f>
        <v>1858.4048217813963</v>
      </c>
      <c r="E98" s="12"/>
    </row>
    <row r="99" spans="1:8" x14ac:dyDescent="0.15">
      <c r="A99" s="9">
        <v>45139</v>
      </c>
      <c r="C99" s="11"/>
      <c r="D99" s="11">
        <f>D98</f>
        <v>1858.4048217813963</v>
      </c>
      <c r="E99" s="12"/>
    </row>
    <row r="100" spans="1:8" x14ac:dyDescent="0.15">
      <c r="A100" s="9">
        <v>45170</v>
      </c>
      <c r="C100" s="11"/>
      <c r="D100" s="11">
        <f t="shared" ref="D100:D109" si="12">D99</f>
        <v>1858.4048217813963</v>
      </c>
      <c r="E100" s="12"/>
    </row>
    <row r="101" spans="1:8" x14ac:dyDescent="0.15">
      <c r="A101" s="16">
        <v>45200</v>
      </c>
      <c r="C101" s="11"/>
      <c r="D101" s="15">
        <f t="shared" si="12"/>
        <v>1858.4048217813963</v>
      </c>
      <c r="E101" s="12"/>
      <c r="F101" s="28" t="s">
        <v>48</v>
      </c>
      <c r="G101" s="28" t="s">
        <v>49</v>
      </c>
      <c r="H101" s="28" t="s">
        <v>50</v>
      </c>
    </row>
    <row r="102" spans="1:8" x14ac:dyDescent="0.15">
      <c r="A102" s="9">
        <v>45231</v>
      </c>
      <c r="C102" s="11"/>
      <c r="D102" s="11">
        <f t="shared" si="12"/>
        <v>1858.4048217813963</v>
      </c>
      <c r="E102" s="12"/>
      <c r="F102" s="24">
        <f>AVERAGE(F2:F97)</f>
        <v>50.915903326770866</v>
      </c>
      <c r="G102" s="14">
        <f>AVERAGE(G2:G97)</f>
        <v>8673.6363543778753</v>
      </c>
      <c r="H102" s="24">
        <f t="shared" ref="H102" si="13">AVERAGE(H2:H97)</f>
        <v>3.231151552901149</v>
      </c>
    </row>
    <row r="103" spans="1:8" x14ac:dyDescent="0.15">
      <c r="A103" s="9">
        <v>45261</v>
      </c>
      <c r="C103" s="11"/>
      <c r="D103" s="11">
        <f t="shared" si="12"/>
        <v>1858.4048217813963</v>
      </c>
      <c r="E103" s="12"/>
    </row>
    <row r="104" spans="1:8" x14ac:dyDescent="0.15">
      <c r="A104" s="9">
        <v>45292</v>
      </c>
      <c r="C104" s="11"/>
      <c r="D104" s="11">
        <f t="shared" si="12"/>
        <v>1858.4048217813963</v>
      </c>
      <c r="E104" s="12"/>
      <c r="G104" s="28" t="s">
        <v>51</v>
      </c>
    </row>
    <row r="105" spans="1:8" x14ac:dyDescent="0.15">
      <c r="A105" s="9">
        <v>45323</v>
      </c>
      <c r="C105" s="11"/>
      <c r="D105" s="11">
        <f t="shared" si="12"/>
        <v>1858.4048217813963</v>
      </c>
      <c r="E105" s="12"/>
      <c r="G105" s="14">
        <f>SQRT(G102)</f>
        <v>93.132359330030269</v>
      </c>
    </row>
    <row r="106" spans="1:8" x14ac:dyDescent="0.15">
      <c r="A106" s="9">
        <v>45352</v>
      </c>
      <c r="C106" s="11"/>
      <c r="D106" s="11">
        <f t="shared" si="12"/>
        <v>1858.4048217813963</v>
      </c>
      <c r="E106" s="12"/>
    </row>
    <row r="107" spans="1:8" x14ac:dyDescent="0.15">
      <c r="A107" s="9">
        <v>45383</v>
      </c>
      <c r="C107" s="11"/>
      <c r="D107" s="11">
        <f t="shared" si="12"/>
        <v>1858.4048217813963</v>
      </c>
      <c r="E107" s="12"/>
    </row>
    <row r="108" spans="1:8" x14ac:dyDescent="0.15">
      <c r="A108" s="9">
        <v>45413</v>
      </c>
      <c r="C108" s="11"/>
      <c r="D108" s="11">
        <f t="shared" si="12"/>
        <v>1858.4048217813963</v>
      </c>
      <c r="E108" s="12"/>
    </row>
    <row r="109" spans="1:8" x14ac:dyDescent="0.15">
      <c r="A109" s="16">
        <v>45444</v>
      </c>
      <c r="C109" s="11"/>
      <c r="D109" s="15">
        <f t="shared" si="12"/>
        <v>1858.4048217813963</v>
      </c>
      <c r="E109" s="12"/>
    </row>
  </sheetData>
  <pageMargins left="0.7" right="0.7" top="0.75" bottom="0.75" header="0.3" footer="0.3"/>
  <pageSetup paperSize="0" orientation="portrait" horizontalDpi="0" verticalDpi="0" copie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5FD2-1906-604F-987A-AE5EB6CE2593}">
  <dimension ref="A1:R10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11" sqref="A11"/>
      <selection pane="bottomRight" activeCell="H37" sqref="H37"/>
    </sheetView>
  </sheetViews>
  <sheetFormatPr baseColWidth="10" defaultColWidth="14.6640625" defaultRowHeight="11" x14ac:dyDescent="0.15"/>
  <cols>
    <col min="1" max="1" width="14.6640625" style="1"/>
    <col min="2" max="2" width="18" style="1" bestFit="1" customWidth="1"/>
    <col min="3" max="7" width="14.6640625" style="1"/>
    <col min="8" max="8" width="17.5" style="1" bestFit="1" customWidth="1"/>
    <col min="9" max="16384" width="14.6640625" style="1"/>
  </cols>
  <sheetData>
    <row r="1" spans="1:18" s="31" customFormat="1" ht="30" customHeight="1" x14ac:dyDescent="0.2">
      <c r="A1" s="31" t="s">
        <v>76</v>
      </c>
      <c r="B1" s="31" t="s">
        <v>77</v>
      </c>
      <c r="C1" s="32" t="s">
        <v>85</v>
      </c>
      <c r="D1" s="32" t="s">
        <v>86</v>
      </c>
      <c r="E1" s="32" t="s">
        <v>44</v>
      </c>
      <c r="F1" s="32" t="s">
        <v>45</v>
      </c>
      <c r="G1" s="32" t="s">
        <v>46</v>
      </c>
      <c r="H1" s="32" t="s">
        <v>47</v>
      </c>
    </row>
    <row r="2" spans="1:18" x14ac:dyDescent="0.15">
      <c r="A2" s="9">
        <v>42186</v>
      </c>
      <c r="B2" s="8">
        <v>1585.7</v>
      </c>
      <c r="C2" s="11">
        <f>B2</f>
        <v>1585.7</v>
      </c>
      <c r="D2" s="11"/>
      <c r="E2" s="12">
        <f t="shared" ref="E2:E33" si="0">B2-C2</f>
        <v>0</v>
      </c>
      <c r="F2" s="12">
        <f>ABS(E2)</f>
        <v>0</v>
      </c>
      <c r="G2" s="12">
        <f>E2*E2</f>
        <v>0</v>
      </c>
      <c r="H2" s="12">
        <f t="shared" ref="H2:H33" si="1">(F2/B2)*100</f>
        <v>0</v>
      </c>
      <c r="K2" s="36" t="s">
        <v>43</v>
      </c>
      <c r="L2" s="24">
        <v>0.70226547370110703</v>
      </c>
    </row>
    <row r="3" spans="1:18" x14ac:dyDescent="0.15">
      <c r="A3" s="9">
        <v>42217</v>
      </c>
      <c r="B3" s="8">
        <v>1586.3</v>
      </c>
      <c r="C3" s="11">
        <f t="shared" ref="C3:C34" si="2">$L$2*B2+(1-$L$2)*C2</f>
        <v>1585.6999999999998</v>
      </c>
      <c r="D3" s="11"/>
      <c r="E3" s="12">
        <f t="shared" si="0"/>
        <v>0.60000000000013642</v>
      </c>
      <c r="F3" s="12">
        <f t="shared" ref="F3:F66" si="3">ABS(E3)</f>
        <v>0.60000000000013642</v>
      </c>
      <c r="G3" s="12">
        <f>E3*E3</f>
        <v>0.36000000000016369</v>
      </c>
      <c r="H3" s="12">
        <f t="shared" si="1"/>
        <v>3.7823866859997259E-2</v>
      </c>
    </row>
    <row r="4" spans="1:18" x14ac:dyDescent="0.15">
      <c r="A4" s="9">
        <v>42248</v>
      </c>
      <c r="B4" s="8">
        <v>1541.9</v>
      </c>
      <c r="C4" s="11">
        <f t="shared" si="2"/>
        <v>1586.1213592842205</v>
      </c>
      <c r="D4" s="11"/>
      <c r="E4" s="12">
        <f t="shared" si="0"/>
        <v>-44.221359284220398</v>
      </c>
      <c r="F4" s="12">
        <f t="shared" si="3"/>
        <v>44.221359284220398</v>
      </c>
      <c r="G4" s="12">
        <f t="shared" ref="G4:G66" si="4">E4*E4</f>
        <v>1955.5286169441056</v>
      </c>
      <c r="H4" s="12">
        <f t="shared" si="1"/>
        <v>2.8679784217018223</v>
      </c>
    </row>
    <row r="5" spans="1:18" x14ac:dyDescent="0.15">
      <c r="A5" s="9">
        <v>42278</v>
      </c>
      <c r="B5" s="8">
        <v>1591.9</v>
      </c>
      <c r="C5" s="11">
        <f t="shared" si="2"/>
        <v>1555.0662254587805</v>
      </c>
      <c r="D5" s="11"/>
      <c r="E5" s="12">
        <f t="shared" si="0"/>
        <v>36.833774541219555</v>
      </c>
      <c r="F5" s="12">
        <f t="shared" si="3"/>
        <v>36.833774541219555</v>
      </c>
      <c r="G5" s="12">
        <f t="shared" si="4"/>
        <v>1356.7269469533937</v>
      </c>
      <c r="H5" s="12">
        <f t="shared" si="1"/>
        <v>2.3138246460970886</v>
      </c>
    </row>
    <row r="6" spans="1:18" x14ac:dyDescent="0.15">
      <c r="A6" s="9">
        <v>42309</v>
      </c>
      <c r="B6" s="8">
        <v>1590</v>
      </c>
      <c r="C6" s="11">
        <f t="shared" si="2"/>
        <v>1580.9333135851698</v>
      </c>
      <c r="D6" s="11"/>
      <c r="E6" s="12">
        <f t="shared" si="0"/>
        <v>9.0666864148302011</v>
      </c>
      <c r="F6" s="12">
        <f t="shared" si="3"/>
        <v>9.0666864148302011</v>
      </c>
      <c r="G6" s="12">
        <f t="shared" si="4"/>
        <v>82.204802544866524</v>
      </c>
      <c r="H6" s="12">
        <f t="shared" si="1"/>
        <v>0.57023184998932086</v>
      </c>
    </row>
    <row r="7" spans="1:18" x14ac:dyDescent="0.15">
      <c r="A7" s="9">
        <v>42339</v>
      </c>
      <c r="B7" s="8">
        <v>1592.5</v>
      </c>
      <c r="C7" s="11">
        <f t="shared" si="2"/>
        <v>1587.3005344151798</v>
      </c>
      <c r="D7" s="11"/>
      <c r="E7" s="12">
        <f t="shared" si="0"/>
        <v>5.1994655848202456</v>
      </c>
      <c r="F7" s="12">
        <f t="shared" si="3"/>
        <v>5.1994655848202456</v>
      </c>
      <c r="G7" s="12">
        <f t="shared" si="4"/>
        <v>27.03444236773014</v>
      </c>
      <c r="H7" s="12">
        <f t="shared" si="1"/>
        <v>0.32649705399185214</v>
      </c>
    </row>
    <row r="8" spans="1:18" x14ac:dyDescent="0.15">
      <c r="A8" s="9">
        <v>42370</v>
      </c>
      <c r="B8" s="8">
        <v>1610.3</v>
      </c>
      <c r="C8" s="11">
        <f t="shared" si="2"/>
        <v>1590.9519395770963</v>
      </c>
      <c r="D8" s="11"/>
      <c r="E8" s="12">
        <f t="shared" si="0"/>
        <v>19.3480604229037</v>
      </c>
      <c r="F8" s="12">
        <f t="shared" si="3"/>
        <v>19.3480604229037</v>
      </c>
      <c r="G8" s="12">
        <f t="shared" si="4"/>
        <v>374.34744212833249</v>
      </c>
      <c r="H8" s="12">
        <f t="shared" si="1"/>
        <v>1.201518997882612</v>
      </c>
      <c r="O8" s="1" t="s">
        <v>78</v>
      </c>
      <c r="Q8" s="1" t="s">
        <v>43</v>
      </c>
      <c r="R8" s="25">
        <v>0.05</v>
      </c>
    </row>
    <row r="9" spans="1:18" x14ac:dyDescent="0.15">
      <c r="A9" s="9">
        <v>42401</v>
      </c>
      <c r="B9" s="8">
        <v>1591.6</v>
      </c>
      <c r="C9" s="11">
        <f t="shared" si="2"/>
        <v>1604.5394143951844</v>
      </c>
      <c r="D9" s="11"/>
      <c r="E9" s="12">
        <f t="shared" si="0"/>
        <v>-12.939414395184485</v>
      </c>
      <c r="F9" s="12">
        <f t="shared" si="3"/>
        <v>12.939414395184485</v>
      </c>
      <c r="G9" s="12">
        <f t="shared" si="4"/>
        <v>167.42844489030747</v>
      </c>
      <c r="H9" s="12">
        <f t="shared" si="1"/>
        <v>0.81298155285150075</v>
      </c>
    </row>
    <row r="10" spans="1:18" x14ac:dyDescent="0.15">
      <c r="A10" s="9">
        <v>42430</v>
      </c>
      <c r="B10" s="8">
        <v>1584.6</v>
      </c>
      <c r="C10" s="11">
        <f t="shared" si="2"/>
        <v>1595.4525104155352</v>
      </c>
      <c r="D10" s="11"/>
      <c r="E10" s="12">
        <f t="shared" si="0"/>
        <v>-10.852510415535335</v>
      </c>
      <c r="F10" s="12">
        <f t="shared" si="3"/>
        <v>10.852510415535335</v>
      </c>
      <c r="G10" s="12">
        <f t="shared" si="4"/>
        <v>117.77698231930292</v>
      </c>
      <c r="H10" s="12">
        <f t="shared" si="1"/>
        <v>0.68487381140573866</v>
      </c>
      <c r="O10" s="26" t="s">
        <v>80</v>
      </c>
      <c r="P10" s="26" t="s">
        <v>79</v>
      </c>
      <c r="Q10" s="26" t="s">
        <v>81</v>
      </c>
      <c r="R10" s="26" t="s">
        <v>82</v>
      </c>
    </row>
    <row r="11" spans="1:18" x14ac:dyDescent="0.15">
      <c r="A11" s="9">
        <v>42461</v>
      </c>
      <c r="B11" s="8">
        <v>1580.8</v>
      </c>
      <c r="C11" s="11">
        <f t="shared" si="2"/>
        <v>1587.8311670477231</v>
      </c>
      <c r="D11" s="11"/>
      <c r="E11" s="12">
        <f t="shared" si="0"/>
        <v>-7.0311670477231019</v>
      </c>
      <c r="F11" s="12">
        <f t="shared" si="3"/>
        <v>7.0311670477231019</v>
      </c>
      <c r="G11" s="12">
        <f t="shared" si="4"/>
        <v>49.4373100529872</v>
      </c>
      <c r="H11" s="12">
        <f t="shared" si="1"/>
        <v>0.44478536486102616</v>
      </c>
    </row>
    <row r="12" spans="1:18" x14ac:dyDescent="0.15">
      <c r="A12" s="9">
        <v>42491</v>
      </c>
      <c r="B12" s="8">
        <v>1567.4</v>
      </c>
      <c r="C12" s="11">
        <f t="shared" si="2"/>
        <v>1582.893421190282</v>
      </c>
      <c r="D12" s="11"/>
      <c r="E12" s="12">
        <f t="shared" si="0"/>
        <v>-15.493421190281879</v>
      </c>
      <c r="F12" s="12">
        <f t="shared" si="3"/>
        <v>15.493421190281879</v>
      </c>
      <c r="G12" s="12">
        <f t="shared" si="4"/>
        <v>240.04610017947556</v>
      </c>
      <c r="H12" s="12">
        <f t="shared" si="1"/>
        <v>0.98847908576508092</v>
      </c>
      <c r="O12" s="1">
        <f>O11+1</f>
        <v>1</v>
      </c>
      <c r="P12" s="1">
        <f>[2]!ACF($E$2:$E$97,O12)</f>
        <v>6.7902024995110027E-2</v>
      </c>
      <c r="Q12" s="1">
        <f>-R12</f>
        <v>-0.20003798651480456</v>
      </c>
      <c r="R12" s="1">
        <f>_xlfn.NORM.S.INV(1-$R$8/2)/SQRT(COUNT($E$2:$E$97))</f>
        <v>0.20003798651480456</v>
      </c>
    </row>
    <row r="13" spans="1:18" x14ac:dyDescent="0.15">
      <c r="A13" s="9">
        <v>42522</v>
      </c>
      <c r="B13" s="8">
        <v>1582.1</v>
      </c>
      <c r="C13" s="11">
        <f t="shared" si="2"/>
        <v>1572.0129264188381</v>
      </c>
      <c r="D13" s="11"/>
      <c r="E13" s="12">
        <f t="shared" si="0"/>
        <v>10.087073581161803</v>
      </c>
      <c r="F13" s="12">
        <f t="shared" si="3"/>
        <v>10.087073581161803</v>
      </c>
      <c r="G13" s="12">
        <f t="shared" si="4"/>
        <v>101.74905343177241</v>
      </c>
      <c r="H13" s="12">
        <f t="shared" si="1"/>
        <v>0.63757496878590514</v>
      </c>
      <c r="O13" s="1">
        <f t="shared" ref="O13:O35" si="5">O12+1</f>
        <v>2</v>
      </c>
      <c r="P13" s="1">
        <f>[2]!ACF($E$2:$E$97,O13)</f>
        <v>-0.17926558468915035</v>
      </c>
      <c r="Q13" s="1">
        <f>-R13</f>
        <v>-0.20095818216027286</v>
      </c>
      <c r="R13" s="1">
        <f>_xlfn.NORM.S.INV(1-$R$8/2)*SQRT((1+2*SUMSQ(P$12:P12))/COUNT($E$2:$E$97))</f>
        <v>0.20095818216027286</v>
      </c>
    </row>
    <row r="14" spans="1:18" x14ac:dyDescent="0.15">
      <c r="A14" s="9">
        <v>42552</v>
      </c>
      <c r="B14" s="8">
        <v>1537.2</v>
      </c>
      <c r="C14" s="11">
        <f t="shared" si="2"/>
        <v>1579.0967299255706</v>
      </c>
      <c r="D14" s="11"/>
      <c r="E14" s="12">
        <f t="shared" si="0"/>
        <v>-41.896729925570526</v>
      </c>
      <c r="F14" s="12">
        <f t="shared" si="3"/>
        <v>41.896729925570526</v>
      </c>
      <c r="G14" s="12">
        <f t="shared" si="4"/>
        <v>1755.3359784561969</v>
      </c>
      <c r="H14" s="12">
        <f t="shared" si="1"/>
        <v>2.7255223735083609</v>
      </c>
      <c r="O14" s="1">
        <f t="shared" si="5"/>
        <v>3</v>
      </c>
      <c r="P14" s="1">
        <f>[2]!ACF($E$2:$E$97,O14)</f>
        <v>-0.20560400961089559</v>
      </c>
      <c r="Q14" s="1">
        <f t="shared" ref="Q14:Q35" si="6">-R14</f>
        <v>-0.2072584368620152</v>
      </c>
      <c r="R14" s="1">
        <f>_xlfn.NORM.S.INV(1-$R$8/2)*SQRT((1+2*SUMSQ(P$12:P13))/COUNT($E$2:$E$97))</f>
        <v>0.2072584368620152</v>
      </c>
    </row>
    <row r="15" spans="1:18" x14ac:dyDescent="0.15">
      <c r="A15" s="9">
        <v>42583</v>
      </c>
      <c r="B15" s="8">
        <v>1541.6</v>
      </c>
      <c r="C15" s="11">
        <f t="shared" si="2"/>
        <v>1549.6741030378626</v>
      </c>
      <c r="D15" s="11"/>
      <c r="E15" s="12">
        <f t="shared" si="0"/>
        <v>-8.0741030378626419</v>
      </c>
      <c r="F15" s="12">
        <f t="shared" si="3"/>
        <v>8.0741030378626419</v>
      </c>
      <c r="G15" s="12">
        <f t="shared" si="4"/>
        <v>65.191139866022738</v>
      </c>
      <c r="H15" s="12">
        <f t="shared" si="1"/>
        <v>0.5237482510289726</v>
      </c>
      <c r="O15" s="1">
        <f t="shared" si="5"/>
        <v>4</v>
      </c>
      <c r="P15" s="1">
        <f>[2]!ACF($E$2:$E$97,O15)</f>
        <v>5.4387843870096529E-3</v>
      </c>
      <c r="Q15" s="1">
        <f t="shared" si="6"/>
        <v>-0.21526538299816964</v>
      </c>
      <c r="R15" s="1">
        <f>_xlfn.NORM.S.INV(1-$R$8/2)*SQRT((1+2*SUMSQ(P$12:P14))/COUNT($E$2:$E$97))</f>
        <v>0.21526538299816964</v>
      </c>
    </row>
    <row r="16" spans="1:18" x14ac:dyDescent="0.15">
      <c r="A16" s="9">
        <v>42614</v>
      </c>
      <c r="B16" s="8">
        <v>1537.8</v>
      </c>
      <c r="C16" s="11">
        <f t="shared" si="2"/>
        <v>1544.0039392432664</v>
      </c>
      <c r="D16" s="11"/>
      <c r="E16" s="12">
        <f t="shared" si="0"/>
        <v>-6.2039392432664044</v>
      </c>
      <c r="F16" s="12">
        <f t="shared" si="3"/>
        <v>6.2039392432664044</v>
      </c>
      <c r="G16" s="12">
        <f t="shared" si="4"/>
        <v>38.48886213414093</v>
      </c>
      <c r="H16" s="12">
        <f t="shared" si="1"/>
        <v>0.40342952550828481</v>
      </c>
      <c r="O16" s="1">
        <f t="shared" si="5"/>
        <v>5</v>
      </c>
      <c r="P16" s="1">
        <f>[2]!ACF($E$2:$E$97,O16)</f>
        <v>5.577833267531862E-2</v>
      </c>
      <c r="Q16" s="1">
        <f t="shared" si="6"/>
        <v>-0.21527088155718363</v>
      </c>
      <c r="R16" s="1">
        <f>_xlfn.NORM.S.INV(1-$R$8/2)*SQRT((1+2*SUMSQ(P$12:P15))/COUNT($E$2:$E$97))</f>
        <v>0.21527088155718363</v>
      </c>
    </row>
    <row r="17" spans="1:18" x14ac:dyDescent="0.15">
      <c r="A17" s="9">
        <v>42644</v>
      </c>
      <c r="B17" s="8">
        <v>1536.8</v>
      </c>
      <c r="C17" s="11">
        <f t="shared" si="2"/>
        <v>1539.647126911781</v>
      </c>
      <c r="D17" s="11"/>
      <c r="E17" s="12">
        <f t="shared" si="0"/>
        <v>-2.8471269117810607</v>
      </c>
      <c r="F17" s="12">
        <f t="shared" si="3"/>
        <v>2.8471269117810607</v>
      </c>
      <c r="G17" s="12">
        <f t="shared" si="4"/>
        <v>8.10613165178796</v>
      </c>
      <c r="H17" s="12">
        <f t="shared" si="1"/>
        <v>0.18526333366612838</v>
      </c>
      <c r="O17" s="1">
        <f t="shared" si="5"/>
        <v>6</v>
      </c>
      <c r="P17" s="1">
        <f>[2]!ACF($E$2:$E$97,O17)</f>
        <v>8.1682973134980089E-2</v>
      </c>
      <c r="Q17" s="1">
        <f t="shared" si="6"/>
        <v>-0.2158484301417673</v>
      </c>
      <c r="R17" s="1">
        <f>_xlfn.NORM.S.INV(1-$R$8/2)*SQRT((1+2*SUMSQ(P$12:P16))/COUNT($E$2:$E$97))</f>
        <v>0.2158484301417673</v>
      </c>
    </row>
    <row r="18" spans="1:18" x14ac:dyDescent="0.15">
      <c r="A18" s="9">
        <v>42675</v>
      </c>
      <c r="B18" s="8">
        <v>1524.3</v>
      </c>
      <c r="C18" s="11">
        <f t="shared" si="2"/>
        <v>1537.647687982392</v>
      </c>
      <c r="D18" s="11"/>
      <c r="E18" s="12">
        <f t="shared" si="0"/>
        <v>-13.347687982392017</v>
      </c>
      <c r="F18" s="12">
        <f t="shared" si="3"/>
        <v>13.347687982392017</v>
      </c>
      <c r="G18" s="12">
        <f t="shared" si="4"/>
        <v>178.16077447529227</v>
      </c>
      <c r="H18" s="12">
        <f t="shared" si="1"/>
        <v>0.87566017072702351</v>
      </c>
      <c r="O18" s="1">
        <f t="shared" si="5"/>
        <v>7</v>
      </c>
      <c r="P18" s="1">
        <f>[2]!ACF($E$2:$E$97,O18)</f>
        <v>-0.1777170480782844</v>
      </c>
      <c r="Q18" s="1">
        <f t="shared" si="6"/>
        <v>-0.21708181918815972</v>
      </c>
      <c r="R18" s="1">
        <f>_xlfn.NORM.S.INV(1-$R$8/2)*SQRT((1+2*SUMSQ(P$12:P17))/COUNT($E$2:$E$97))</f>
        <v>0.21708181918815972</v>
      </c>
    </row>
    <row r="19" spans="1:18" x14ac:dyDescent="0.15">
      <c r="A19" s="9">
        <v>42705</v>
      </c>
      <c r="B19" s="8">
        <v>1550.1</v>
      </c>
      <c r="C19" s="11">
        <f t="shared" si="2"/>
        <v>1528.2740675586228</v>
      </c>
      <c r="D19" s="11"/>
      <c r="E19" s="12">
        <f t="shared" si="0"/>
        <v>21.825932441377063</v>
      </c>
      <c r="F19" s="12">
        <f t="shared" si="3"/>
        <v>21.825932441377063</v>
      </c>
      <c r="G19" s="12">
        <f t="shared" si="4"/>
        <v>476.37132693555571</v>
      </c>
      <c r="H19" s="12">
        <f t="shared" si="1"/>
        <v>1.4080338327447948</v>
      </c>
      <c r="O19" s="1">
        <f t="shared" si="5"/>
        <v>8</v>
      </c>
      <c r="P19" s="1">
        <f>[2]!ACF($E$2:$E$97,O19)</f>
        <v>-8.7361654894094684E-2</v>
      </c>
      <c r="Q19" s="1">
        <f t="shared" si="6"/>
        <v>-0.22282761058829867</v>
      </c>
      <c r="R19" s="1">
        <f>_xlfn.NORM.S.INV(1-$R$8/2)*SQRT((1+2*SUMSQ(P$12:P18))/COUNT($E$2:$E$97))</f>
        <v>0.22282761058829867</v>
      </c>
    </row>
    <row r="20" spans="1:18" x14ac:dyDescent="0.15">
      <c r="A20" s="9">
        <v>42736</v>
      </c>
      <c r="B20" s="8">
        <v>1554.7</v>
      </c>
      <c r="C20" s="11">
        <f t="shared" si="2"/>
        <v>1543.6016663435348</v>
      </c>
      <c r="D20" s="11"/>
      <c r="E20" s="12">
        <f t="shared" si="0"/>
        <v>11.098333656465229</v>
      </c>
      <c r="F20" s="12">
        <f t="shared" si="3"/>
        <v>11.098333656465229</v>
      </c>
      <c r="G20" s="12">
        <f t="shared" si="4"/>
        <v>123.17300995022886</v>
      </c>
      <c r="H20" s="12">
        <f t="shared" si="1"/>
        <v>0.713856927797339</v>
      </c>
      <c r="O20" s="1">
        <f t="shared" si="5"/>
        <v>9</v>
      </c>
      <c r="P20" s="1">
        <f>[2]!ACF($E$2:$E$97,O20)</f>
        <v>-0.13887383684492108</v>
      </c>
      <c r="Q20" s="1">
        <f t="shared" si="6"/>
        <v>-0.22419398005841515</v>
      </c>
      <c r="R20" s="1">
        <f>_xlfn.NORM.S.INV(1-$R$8/2)*SQRT((1+2*SUMSQ(P$12:P19))/COUNT($E$2:$E$97))</f>
        <v>0.22419398005841515</v>
      </c>
    </row>
    <row r="21" spans="1:18" x14ac:dyDescent="0.15">
      <c r="A21" s="9">
        <v>42767</v>
      </c>
      <c r="B21" s="8">
        <v>1542.9</v>
      </c>
      <c r="C21" s="11">
        <f t="shared" si="2"/>
        <v>1551.3956428860854</v>
      </c>
      <c r="D21" s="11"/>
      <c r="E21" s="12">
        <f t="shared" si="0"/>
        <v>-8.4956428860853066</v>
      </c>
      <c r="F21" s="12">
        <f t="shared" si="3"/>
        <v>8.4956428860853066</v>
      </c>
      <c r="G21" s="12">
        <f t="shared" si="4"/>
        <v>72.175948047891879</v>
      </c>
      <c r="H21" s="12">
        <f t="shared" si="1"/>
        <v>0.55062822516594112</v>
      </c>
      <c r="O21" s="1">
        <f t="shared" si="5"/>
        <v>10</v>
      </c>
      <c r="P21" s="1">
        <f>[2]!ACF($E$2:$E$97,O21)</f>
        <v>-2.8441308107169189E-2</v>
      </c>
      <c r="Q21" s="1">
        <f t="shared" si="6"/>
        <v>-0.22761019801293564</v>
      </c>
      <c r="R21" s="1">
        <f>_xlfn.NORM.S.INV(1-$R$8/2)*SQRT((1+2*SUMSQ(P$12:P20))/COUNT($E$2:$E$97))</f>
        <v>0.22761019801293564</v>
      </c>
    </row>
    <row r="22" spans="1:18" x14ac:dyDescent="0.15">
      <c r="A22" s="9">
        <v>42795</v>
      </c>
      <c r="B22" s="8">
        <v>1545.1</v>
      </c>
      <c r="C22" s="11">
        <f t="shared" si="2"/>
        <v>1545.4294462102935</v>
      </c>
      <c r="D22" s="11"/>
      <c r="E22" s="12">
        <f t="shared" si="0"/>
        <v>-0.32944621029355403</v>
      </c>
      <c r="F22" s="12">
        <f t="shared" si="3"/>
        <v>0.32944621029355403</v>
      </c>
      <c r="G22" s="12">
        <f t="shared" si="4"/>
        <v>0.10853480547678462</v>
      </c>
      <c r="H22" s="12">
        <f t="shared" si="1"/>
        <v>2.1321999242350273E-2</v>
      </c>
      <c r="O22" s="1">
        <f t="shared" si="5"/>
        <v>11</v>
      </c>
      <c r="P22" s="1">
        <f>[2]!ACF($E$2:$E$97,O22)</f>
        <v>6.2561108279294758E-2</v>
      </c>
      <c r="Q22" s="1">
        <f t="shared" si="6"/>
        <v>-0.22775236434436144</v>
      </c>
      <c r="R22" s="1">
        <f>_xlfn.NORM.S.INV(1-$R$8/2)*SQRT((1+2*SUMSQ(P$12:P21))/COUNT($E$2:$E$97))</f>
        <v>0.22775236434436144</v>
      </c>
    </row>
    <row r="23" spans="1:18" x14ac:dyDescent="0.15">
      <c r="A23" s="9">
        <v>42826</v>
      </c>
      <c r="B23" s="8">
        <v>1604.2</v>
      </c>
      <c r="C23" s="11">
        <f t="shared" si="2"/>
        <v>1545.1980875113627</v>
      </c>
      <c r="D23" s="11"/>
      <c r="E23" s="12">
        <f t="shared" si="0"/>
        <v>59.001912488637345</v>
      </c>
      <c r="F23" s="12">
        <f t="shared" si="3"/>
        <v>59.001912488637345</v>
      </c>
      <c r="G23" s="12">
        <f t="shared" si="4"/>
        <v>3481.2256773168197</v>
      </c>
      <c r="H23" s="12">
        <f t="shared" si="1"/>
        <v>3.6779648727488681</v>
      </c>
      <c r="O23" s="1">
        <f t="shared" si="5"/>
        <v>12</v>
      </c>
      <c r="P23" s="1">
        <f>[2]!ACF($E$2:$E$97,O23)</f>
        <v>0.17770601867929398</v>
      </c>
      <c r="Q23" s="1">
        <f t="shared" si="6"/>
        <v>-0.22843898484578776</v>
      </c>
      <c r="R23" s="1">
        <f>_xlfn.NORM.S.INV(1-$R$8/2)*SQRT((1+2*SUMSQ(P$12:P22))/COUNT($E$2:$E$97))</f>
        <v>0.22843898484578776</v>
      </c>
    </row>
    <row r="24" spans="1:18" x14ac:dyDescent="0.15">
      <c r="A24" s="9">
        <v>42856</v>
      </c>
      <c r="B24" s="8">
        <v>1550.6</v>
      </c>
      <c r="C24" s="11">
        <f t="shared" si="2"/>
        <v>1586.633093534467</v>
      </c>
      <c r="D24" s="11"/>
      <c r="E24" s="12">
        <f t="shared" si="0"/>
        <v>-36.033093534467071</v>
      </c>
      <c r="F24" s="12">
        <f t="shared" si="3"/>
        <v>36.033093534467071</v>
      </c>
      <c r="G24" s="12">
        <f t="shared" si="4"/>
        <v>1298.3838296636527</v>
      </c>
      <c r="H24" s="12">
        <f t="shared" si="1"/>
        <v>2.3238161701578148</v>
      </c>
      <c r="O24" s="1">
        <f t="shared" si="5"/>
        <v>13</v>
      </c>
      <c r="P24" s="1">
        <f>[2]!ACF($E$2:$E$97,O24)</f>
        <v>-0.10663176932149585</v>
      </c>
      <c r="Q24" s="1">
        <f t="shared" si="6"/>
        <v>-0.23390528828664486</v>
      </c>
      <c r="R24" s="1">
        <f>_xlfn.NORM.S.INV(1-$R$8/2)*SQRT((1+2*SUMSQ(P$12:P23))/COUNT($E$2:$E$97))</f>
        <v>0.23390528828664486</v>
      </c>
    </row>
    <row r="25" spans="1:18" x14ac:dyDescent="0.15">
      <c r="A25" s="9">
        <v>42887</v>
      </c>
      <c r="B25" s="8">
        <v>1548.7</v>
      </c>
      <c r="C25" s="11">
        <f t="shared" si="2"/>
        <v>1561.3282960345682</v>
      </c>
      <c r="D25" s="11"/>
      <c r="E25" s="12">
        <f t="shared" si="0"/>
        <v>-12.628296034568166</v>
      </c>
      <c r="F25" s="12">
        <f t="shared" si="3"/>
        <v>12.628296034568166</v>
      </c>
      <c r="G25" s="12">
        <f t="shared" si="4"/>
        <v>159.47386073669006</v>
      </c>
      <c r="H25" s="12">
        <f t="shared" si="1"/>
        <v>0.81541267092194514</v>
      </c>
      <c r="O25" s="1">
        <f t="shared" si="5"/>
        <v>14</v>
      </c>
      <c r="P25" s="1">
        <f>[2]!ACF($E$2:$E$97,O25)</f>
        <v>-0.17166885109632232</v>
      </c>
      <c r="Q25" s="1">
        <f t="shared" si="6"/>
        <v>-0.23584243934258076</v>
      </c>
      <c r="R25" s="1">
        <f>_xlfn.NORM.S.INV(1-$R$8/2)*SQRT((1+2*SUMSQ(P$12:P24))/COUNT($E$2:$E$97))</f>
        <v>0.23584243934258076</v>
      </c>
    </row>
    <row r="26" spans="1:18" x14ac:dyDescent="0.15">
      <c r="A26" s="9">
        <v>42917</v>
      </c>
      <c r="B26" s="8">
        <v>1541.7</v>
      </c>
      <c r="C26" s="11">
        <f t="shared" si="2"/>
        <v>1552.4598797378144</v>
      </c>
      <c r="D26" s="11"/>
      <c r="E26" s="12">
        <f t="shared" si="0"/>
        <v>-10.759879737814344</v>
      </c>
      <c r="F26" s="12">
        <f t="shared" si="3"/>
        <v>10.759879737814344</v>
      </c>
      <c r="G26" s="12">
        <f t="shared" si="4"/>
        <v>115.77501197222769</v>
      </c>
      <c r="H26" s="12">
        <f t="shared" si="1"/>
        <v>0.69792305492731044</v>
      </c>
      <c r="O26" s="1">
        <f t="shared" si="5"/>
        <v>15</v>
      </c>
      <c r="P26" s="1">
        <f>[2]!ACF($E$2:$E$97,O26)</f>
        <v>-1.422267878661255E-2</v>
      </c>
      <c r="Q26" s="1">
        <f t="shared" si="6"/>
        <v>-0.24079071288367565</v>
      </c>
      <c r="R26" s="1">
        <f>_xlfn.NORM.S.INV(1-$R$8/2)*SQRT((1+2*SUMSQ(P$12:P25))/COUNT($E$2:$E$97))</f>
        <v>0.24079071288367565</v>
      </c>
    </row>
    <row r="27" spans="1:18" x14ac:dyDescent="0.15">
      <c r="A27" s="9">
        <v>42948</v>
      </c>
      <c r="B27" s="8">
        <v>1519.8</v>
      </c>
      <c r="C27" s="11">
        <f t="shared" si="2"/>
        <v>1544.9035876967714</v>
      </c>
      <c r="D27" s="11"/>
      <c r="E27" s="12">
        <f t="shared" si="0"/>
        <v>-25.103587696771456</v>
      </c>
      <c r="F27" s="12">
        <f t="shared" si="3"/>
        <v>25.103587696771456</v>
      </c>
      <c r="G27" s="12">
        <f t="shared" si="4"/>
        <v>630.19011524949519</v>
      </c>
      <c r="H27" s="12">
        <f t="shared" si="1"/>
        <v>1.6517691602034121</v>
      </c>
      <c r="O27" s="1">
        <f t="shared" si="5"/>
        <v>16</v>
      </c>
      <c r="P27" s="1">
        <f>[2]!ACF($E$2:$E$97,O27)</f>
        <v>0.12997512534960629</v>
      </c>
      <c r="Q27" s="1">
        <f t="shared" si="6"/>
        <v>-0.24082432669111981</v>
      </c>
      <c r="R27" s="1">
        <f>_xlfn.NORM.S.INV(1-$R$8/2)*SQRT((1+2*SUMSQ(P$12:P26))/COUNT($E$2:$E$97))</f>
        <v>0.24082432669111981</v>
      </c>
    </row>
    <row r="28" spans="1:18" x14ac:dyDescent="0.15">
      <c r="A28" s="9">
        <v>42979</v>
      </c>
      <c r="B28" s="8">
        <v>1557.1</v>
      </c>
      <c r="C28" s="11">
        <f t="shared" si="2"/>
        <v>1527.2742047913009</v>
      </c>
      <c r="D28" s="11"/>
      <c r="E28" s="12">
        <f t="shared" si="0"/>
        <v>29.825795208698992</v>
      </c>
      <c r="F28" s="12">
        <f t="shared" si="3"/>
        <v>29.825795208698992</v>
      </c>
      <c r="G28" s="12">
        <f t="shared" si="4"/>
        <v>889.57805983125172</v>
      </c>
      <c r="H28" s="12">
        <f t="shared" si="1"/>
        <v>1.9154707603043473</v>
      </c>
      <c r="O28" s="1">
        <f t="shared" si="5"/>
        <v>17</v>
      </c>
      <c r="P28" s="1">
        <f>[2]!ACF($E$2:$E$97,O28)</f>
        <v>0.23772059963323283</v>
      </c>
      <c r="Q28" s="1">
        <f t="shared" si="6"/>
        <v>-0.24361517278879871</v>
      </c>
      <c r="R28" s="1">
        <f>_xlfn.NORM.S.INV(1-$R$8/2)*SQRT((1+2*SUMSQ(P$12:P27))/COUNT($E$2:$E$97))</f>
        <v>0.24361517278879871</v>
      </c>
    </row>
    <row r="29" spans="1:18" x14ac:dyDescent="0.15">
      <c r="A29" s="9">
        <v>43009</v>
      </c>
      <c r="B29" s="8">
        <v>1566.8</v>
      </c>
      <c r="C29" s="11">
        <f t="shared" si="2"/>
        <v>1548.21983099205</v>
      </c>
      <c r="D29" s="11"/>
      <c r="E29" s="12">
        <f t="shared" si="0"/>
        <v>18.580169007949962</v>
      </c>
      <c r="F29" s="12">
        <f t="shared" si="3"/>
        <v>18.580169007949962</v>
      </c>
      <c r="G29" s="12">
        <f t="shared" si="4"/>
        <v>345.2226803639843</v>
      </c>
      <c r="H29" s="12">
        <f t="shared" si="1"/>
        <v>1.1858673096725787</v>
      </c>
      <c r="O29" s="1">
        <f t="shared" si="5"/>
        <v>18</v>
      </c>
      <c r="P29" s="1">
        <f>[2]!ACF($E$2:$E$97,O29)</f>
        <v>0.12257368300868764</v>
      </c>
      <c r="Q29" s="1">
        <f t="shared" si="6"/>
        <v>-0.25272703967421223</v>
      </c>
      <c r="R29" s="1">
        <f>_xlfn.NORM.S.INV(1-$R$8/2)*SQRT((1+2*SUMSQ(P$12:P28))/COUNT($E$2:$E$97))</f>
        <v>0.25272703967421223</v>
      </c>
    </row>
    <row r="30" spans="1:18" x14ac:dyDescent="0.15">
      <c r="A30" s="9">
        <v>43040</v>
      </c>
      <c r="B30" s="8">
        <v>1536.8</v>
      </c>
      <c r="C30" s="11">
        <f t="shared" si="2"/>
        <v>1561.2680421818645</v>
      </c>
      <c r="D30" s="11"/>
      <c r="E30" s="12">
        <f t="shared" si="0"/>
        <v>-24.468042181864575</v>
      </c>
      <c r="F30" s="12">
        <f t="shared" si="3"/>
        <v>24.468042181864575</v>
      </c>
      <c r="G30" s="12">
        <f t="shared" si="4"/>
        <v>598.68508821350417</v>
      </c>
      <c r="H30" s="12">
        <f t="shared" si="1"/>
        <v>1.5921422554570912</v>
      </c>
      <c r="O30" s="1">
        <f t="shared" si="5"/>
        <v>19</v>
      </c>
      <c r="P30" s="1">
        <f>[2]!ACF($E$2:$E$97,O30)</f>
        <v>-0.26589452651277801</v>
      </c>
      <c r="Q30" s="1">
        <f t="shared" si="6"/>
        <v>-0.25509480164054094</v>
      </c>
      <c r="R30" s="1">
        <f>_xlfn.NORM.S.INV(1-$R$8/2)*SQRT((1+2*SUMSQ(P$12:P29))/COUNT($E$2:$E$97))</f>
        <v>0.25509480164054094</v>
      </c>
    </row>
    <row r="31" spans="1:18" x14ac:dyDescent="0.15">
      <c r="A31" s="9">
        <v>43070</v>
      </c>
      <c r="B31" s="8">
        <v>1553.1</v>
      </c>
      <c r="C31" s="11">
        <f t="shared" si="2"/>
        <v>1544.0849809484789</v>
      </c>
      <c r="D31" s="11"/>
      <c r="E31" s="12">
        <f t="shared" si="0"/>
        <v>9.0150190515209943</v>
      </c>
      <c r="F31" s="12">
        <f t="shared" si="3"/>
        <v>9.0150190515209943</v>
      </c>
      <c r="G31" s="12">
        <f t="shared" si="4"/>
        <v>81.270568499286483</v>
      </c>
      <c r="H31" s="12">
        <f t="shared" si="1"/>
        <v>0.58045322590438453</v>
      </c>
      <c r="O31" s="1">
        <f t="shared" si="5"/>
        <v>20</v>
      </c>
      <c r="P31" s="1">
        <f>[2]!ACF($E$2:$E$97,O31)</f>
        <v>-7.1095377185682873E-2</v>
      </c>
      <c r="Q31" s="1">
        <f t="shared" si="6"/>
        <v>-0.26595394052473581</v>
      </c>
      <c r="R31" s="1">
        <f>_xlfn.NORM.S.INV(1-$R$8/2)*SQRT((1+2*SUMSQ(P$12:P30))/COUNT($E$2:$E$97))</f>
        <v>0.26595394052473581</v>
      </c>
    </row>
    <row r="32" spans="1:18" x14ac:dyDescent="0.15">
      <c r="A32" s="9">
        <v>43101</v>
      </c>
      <c r="B32" s="8">
        <v>1544.7</v>
      </c>
      <c r="C32" s="11">
        <f t="shared" si="2"/>
        <v>1550.4159175731199</v>
      </c>
      <c r="D32" s="11"/>
      <c r="E32" s="12">
        <f t="shared" si="0"/>
        <v>-5.7159175731198957</v>
      </c>
      <c r="F32" s="12">
        <f t="shared" si="3"/>
        <v>5.7159175731198957</v>
      </c>
      <c r="G32" s="12">
        <f t="shared" si="4"/>
        <v>32.671713702700835</v>
      </c>
      <c r="H32" s="12">
        <f t="shared" si="1"/>
        <v>0.37003415375929927</v>
      </c>
      <c r="O32" s="1">
        <f t="shared" si="5"/>
        <v>21</v>
      </c>
      <c r="P32" s="1">
        <f>[2]!ACF($E$2:$E$97,O32)</f>
        <v>7.4784652522171854E-2</v>
      </c>
      <c r="Q32" s="1">
        <f t="shared" si="6"/>
        <v>-0.26671335982973804</v>
      </c>
      <c r="R32" s="1">
        <f>_xlfn.NORM.S.INV(1-$R$8/2)*SQRT((1+2*SUMSQ(P$12:P31))/COUNT($E$2:$E$97))</f>
        <v>0.26671335982973804</v>
      </c>
    </row>
    <row r="33" spans="1:18" x14ac:dyDescent="0.15">
      <c r="A33" s="9">
        <v>43132</v>
      </c>
      <c r="B33" s="8">
        <v>1547.5</v>
      </c>
      <c r="C33" s="11">
        <f t="shared" si="2"/>
        <v>1546.4018260109963</v>
      </c>
      <c r="D33" s="11"/>
      <c r="E33" s="12">
        <f t="shared" si="0"/>
        <v>1.0981739890037261</v>
      </c>
      <c r="F33" s="12">
        <f t="shared" si="3"/>
        <v>1.0981739890037261</v>
      </c>
      <c r="G33" s="12">
        <f t="shared" si="4"/>
        <v>1.2059861101243559</v>
      </c>
      <c r="H33" s="12">
        <f t="shared" si="1"/>
        <v>7.096439347358488E-2</v>
      </c>
      <c r="O33" s="1">
        <f t="shared" si="5"/>
        <v>22</v>
      </c>
      <c r="P33" s="1">
        <f>[2]!ACF($E$2:$E$97,O33)</f>
        <v>4.8647596959541881E-3</v>
      </c>
      <c r="Q33" s="1">
        <f t="shared" si="6"/>
        <v>-0.26755112750113119</v>
      </c>
      <c r="R33" s="1">
        <f>_xlfn.NORM.S.INV(1-$R$8/2)*SQRT((1+2*SUMSQ(P$12:P32))/COUNT($E$2:$E$97))</f>
        <v>0.26755112750113119</v>
      </c>
    </row>
    <row r="34" spans="1:18" x14ac:dyDescent="0.15">
      <c r="A34" s="9">
        <v>43160</v>
      </c>
      <c r="B34" s="8">
        <v>1548.6</v>
      </c>
      <c r="C34" s="11">
        <f t="shared" si="2"/>
        <v>1547.1730356875901</v>
      </c>
      <c r="D34" s="11"/>
      <c r="E34" s="12">
        <f t="shared" ref="E34:E65" si="7">B34-C34</f>
        <v>1.4269643124098366</v>
      </c>
      <c r="F34" s="12">
        <f t="shared" si="3"/>
        <v>1.4269643124098366</v>
      </c>
      <c r="G34" s="12">
        <f t="shared" si="4"/>
        <v>2.0362271488912778</v>
      </c>
      <c r="H34" s="12">
        <f t="shared" ref="H34:H65" si="8">(F34/B34)*100</f>
        <v>9.2145441844881618E-2</v>
      </c>
      <c r="O34" s="1">
        <f t="shared" si="5"/>
        <v>23</v>
      </c>
      <c r="P34" s="1">
        <f>[2]!ACF($E$2:$E$97,O34)</f>
        <v>-8.6506998063480105E-3</v>
      </c>
      <c r="Q34" s="1">
        <f t="shared" si="6"/>
        <v>-0.26755466696982588</v>
      </c>
      <c r="R34" s="1">
        <f>_xlfn.NORM.S.INV(1-$R$8/2)*SQRT((1+2*SUMSQ(P$12:P33))/COUNT($E$2:$E$97))</f>
        <v>0.26755466696982588</v>
      </c>
    </row>
    <row r="35" spans="1:18" x14ac:dyDescent="0.15">
      <c r="A35" s="9">
        <v>43191</v>
      </c>
      <c r="B35" s="8">
        <v>1542.1</v>
      </c>
      <c r="C35" s="11">
        <f t="shared" ref="C35:C66" si="9">$L$2*B34+(1-$L$2)*C34</f>
        <v>1548.1751434563992</v>
      </c>
      <c r="D35" s="11"/>
      <c r="E35" s="12">
        <f t="shared" si="7"/>
        <v>-6.0751434563992461</v>
      </c>
      <c r="F35" s="12">
        <f t="shared" si="3"/>
        <v>6.0751434563992461</v>
      </c>
      <c r="G35" s="12">
        <f t="shared" si="4"/>
        <v>36.907368015830578</v>
      </c>
      <c r="H35" s="12">
        <f t="shared" si="8"/>
        <v>0.39395262670379649</v>
      </c>
      <c r="O35" s="27">
        <f t="shared" si="5"/>
        <v>24</v>
      </c>
      <c r="P35" s="27">
        <f>[2]!ACF($E$2:$E$97,O35)</f>
        <v>3.3293863067989267E-2</v>
      </c>
      <c r="Q35" s="27">
        <f t="shared" si="6"/>
        <v>-0.26756585892128742</v>
      </c>
      <c r="R35" s="27">
        <f>_xlfn.NORM.S.INV(1-$R$8/2)*SQRT((1+2*SUMSQ(P$12:P34))/COUNT($E$2:$E$97))</f>
        <v>0.26756585892128742</v>
      </c>
    </row>
    <row r="36" spans="1:18" x14ac:dyDescent="0.15">
      <c r="A36" s="9">
        <v>43221</v>
      </c>
      <c r="B36" s="8">
        <v>1588.6</v>
      </c>
      <c r="C36" s="11">
        <f t="shared" si="9"/>
        <v>1543.9087799591887</v>
      </c>
      <c r="D36" s="11"/>
      <c r="E36" s="12">
        <f t="shared" si="7"/>
        <v>44.691220040811231</v>
      </c>
      <c r="F36" s="12">
        <f t="shared" si="3"/>
        <v>44.691220040811231</v>
      </c>
      <c r="G36" s="12">
        <f t="shared" si="4"/>
        <v>1997.3051487362075</v>
      </c>
      <c r="H36" s="12">
        <f t="shared" si="8"/>
        <v>2.8132456276476918</v>
      </c>
    </row>
    <row r="37" spans="1:18" x14ac:dyDescent="0.15">
      <c r="A37" s="9">
        <v>43252</v>
      </c>
      <c r="B37" s="8">
        <v>1577.2</v>
      </c>
      <c r="C37" s="11">
        <f t="shared" si="9"/>
        <v>1575.2938807714295</v>
      </c>
      <c r="D37" s="11"/>
      <c r="E37" s="12">
        <f t="shared" si="7"/>
        <v>1.9061192285705602</v>
      </c>
      <c r="F37" s="12">
        <f t="shared" si="3"/>
        <v>1.9061192285705602</v>
      </c>
      <c r="G37" s="12">
        <f t="shared" si="4"/>
        <v>3.6332905135264273</v>
      </c>
      <c r="H37" s="12">
        <f t="shared" si="8"/>
        <v>0.12085463026696425</v>
      </c>
    </row>
    <row r="38" spans="1:18" x14ac:dyDescent="0.15">
      <c r="A38" s="9">
        <v>43282</v>
      </c>
      <c r="B38" s="8">
        <v>1540.7</v>
      </c>
      <c r="C38" s="11">
        <f t="shared" si="9"/>
        <v>1576.6324824944124</v>
      </c>
      <c r="D38" s="11"/>
      <c r="E38" s="12">
        <f t="shared" si="7"/>
        <v>-35.932482494412398</v>
      </c>
      <c r="F38" s="12">
        <f t="shared" si="3"/>
        <v>35.932482494412398</v>
      </c>
      <c r="G38" s="12">
        <f t="shared" si="4"/>
        <v>1291.1432982112533</v>
      </c>
      <c r="H38" s="12">
        <f t="shared" si="8"/>
        <v>2.3322179849686764</v>
      </c>
    </row>
    <row r="39" spans="1:18" x14ac:dyDescent="0.15">
      <c r="A39" s="9">
        <v>43313</v>
      </c>
      <c r="B39" s="8">
        <v>1554.6</v>
      </c>
      <c r="C39" s="11">
        <f t="shared" si="9"/>
        <v>1551.3983406542172</v>
      </c>
      <c r="D39" s="11"/>
      <c r="E39" s="12">
        <f t="shared" si="7"/>
        <v>3.201659345782673</v>
      </c>
      <c r="F39" s="12">
        <f t="shared" si="3"/>
        <v>3.201659345782673</v>
      </c>
      <c r="G39" s="12">
        <f t="shared" si="4"/>
        <v>10.250622566437533</v>
      </c>
      <c r="H39" s="12">
        <f t="shared" si="8"/>
        <v>0.20594746853098375</v>
      </c>
    </row>
    <row r="40" spans="1:18" x14ac:dyDescent="0.15">
      <c r="A40" s="9">
        <v>43344</v>
      </c>
      <c r="B40" s="8">
        <v>1560</v>
      </c>
      <c r="C40" s="11">
        <f t="shared" si="9"/>
        <v>1553.6467554713131</v>
      </c>
      <c r="D40" s="11"/>
      <c r="E40" s="12">
        <f t="shared" si="7"/>
        <v>6.3532445286869006</v>
      </c>
      <c r="F40" s="12">
        <f t="shared" si="3"/>
        <v>6.3532445286869006</v>
      </c>
      <c r="G40" s="12">
        <f t="shared" si="4"/>
        <v>40.36371604129004</v>
      </c>
      <c r="H40" s="12">
        <f t="shared" si="8"/>
        <v>0.4072592646594167</v>
      </c>
    </row>
    <row r="41" spans="1:18" x14ac:dyDescent="0.15">
      <c r="A41" s="9">
        <v>43374</v>
      </c>
      <c r="B41" s="8">
        <v>1565.6</v>
      </c>
      <c r="C41" s="11">
        <f t="shared" si="9"/>
        <v>1558.1084197497905</v>
      </c>
      <c r="D41" s="11"/>
      <c r="E41" s="12">
        <f t="shared" si="7"/>
        <v>7.4915802502093811</v>
      </c>
      <c r="F41" s="12">
        <f t="shared" si="3"/>
        <v>7.4915802502093811</v>
      </c>
      <c r="G41" s="12">
        <f t="shared" si="4"/>
        <v>56.123774645327252</v>
      </c>
      <c r="H41" s="12">
        <f t="shared" si="8"/>
        <v>0.47851176866437029</v>
      </c>
    </row>
    <row r="42" spans="1:18" x14ac:dyDescent="0.15">
      <c r="A42" s="9">
        <v>43405</v>
      </c>
      <c r="B42" s="8">
        <v>1537.1</v>
      </c>
      <c r="C42" s="11">
        <f t="shared" si="9"/>
        <v>1563.3694979029738</v>
      </c>
      <c r="D42" s="11"/>
      <c r="E42" s="12">
        <f t="shared" si="7"/>
        <v>-26.269497902973853</v>
      </c>
      <c r="F42" s="12">
        <f t="shared" si="3"/>
        <v>26.269497902973853</v>
      </c>
      <c r="G42" s="12">
        <f t="shared" si="4"/>
        <v>690.08652007434773</v>
      </c>
      <c r="H42" s="12">
        <f t="shared" si="8"/>
        <v>1.7090298551150775</v>
      </c>
    </row>
    <row r="43" spans="1:18" x14ac:dyDescent="0.15">
      <c r="A43" s="9">
        <v>43435</v>
      </c>
      <c r="B43" s="8">
        <v>1567.6</v>
      </c>
      <c r="C43" s="11">
        <f t="shared" si="9"/>
        <v>1544.9213365142514</v>
      </c>
      <c r="D43" s="11"/>
      <c r="E43" s="12">
        <f t="shared" si="7"/>
        <v>22.67866348574853</v>
      </c>
      <c r="F43" s="12">
        <f t="shared" si="3"/>
        <v>22.67866348574853</v>
      </c>
      <c r="G43" s="12">
        <f t="shared" si="4"/>
        <v>514.32177749982361</v>
      </c>
      <c r="H43" s="12">
        <f t="shared" si="8"/>
        <v>1.4467123938344304</v>
      </c>
    </row>
    <row r="44" spans="1:18" x14ac:dyDescent="0.15">
      <c r="A44" s="9">
        <v>43466</v>
      </c>
      <c r="B44" s="8">
        <v>1540.1</v>
      </c>
      <c r="C44" s="11">
        <f t="shared" si="9"/>
        <v>1560.8477788699786</v>
      </c>
      <c r="D44" s="11"/>
      <c r="E44" s="12">
        <f t="shared" si="7"/>
        <v>-20.747778869978674</v>
      </c>
      <c r="F44" s="12">
        <f t="shared" si="3"/>
        <v>20.747778869978674</v>
      </c>
      <c r="G44" s="12">
        <f t="shared" si="4"/>
        <v>430.47032803753353</v>
      </c>
      <c r="H44" s="12">
        <f t="shared" si="8"/>
        <v>1.3471708895512418</v>
      </c>
    </row>
    <row r="45" spans="1:18" x14ac:dyDescent="0.15">
      <c r="A45" s="9">
        <v>43497</v>
      </c>
      <c r="B45" s="8">
        <v>1566.3</v>
      </c>
      <c r="C45" s="11">
        <f t="shared" si="9"/>
        <v>1546.2773301136071</v>
      </c>
      <c r="D45" s="11"/>
      <c r="E45" s="12">
        <f t="shared" si="7"/>
        <v>20.022669886392805</v>
      </c>
      <c r="F45" s="12">
        <f t="shared" si="3"/>
        <v>20.022669886392805</v>
      </c>
      <c r="G45" s="12">
        <f t="shared" si="4"/>
        <v>400.90730937946125</v>
      </c>
      <c r="H45" s="12">
        <f t="shared" si="8"/>
        <v>1.2783419451186111</v>
      </c>
    </row>
    <row r="46" spans="1:18" x14ac:dyDescent="0.15">
      <c r="A46" s="9">
        <v>43525</v>
      </c>
      <c r="B46" s="8">
        <v>1535.7</v>
      </c>
      <c r="C46" s="11">
        <f t="shared" si="9"/>
        <v>1560.3385598661357</v>
      </c>
      <c r="D46" s="11"/>
      <c r="E46" s="12">
        <f t="shared" si="7"/>
        <v>-24.638559866135665</v>
      </c>
      <c r="F46" s="12">
        <f t="shared" si="3"/>
        <v>24.638559866135665</v>
      </c>
      <c r="G46" s="12">
        <f t="shared" si="4"/>
        <v>607.0586322771511</v>
      </c>
      <c r="H46" s="12">
        <f t="shared" si="8"/>
        <v>1.604386264643854</v>
      </c>
    </row>
    <row r="47" spans="1:18" x14ac:dyDescent="0.15">
      <c r="A47" s="9">
        <v>43556</v>
      </c>
      <c r="B47" s="8">
        <v>1565.8</v>
      </c>
      <c r="C47" s="11">
        <f t="shared" si="9"/>
        <v>1543.035749950431</v>
      </c>
      <c r="D47" s="11"/>
      <c r="E47" s="12">
        <f t="shared" si="7"/>
        <v>22.764250049569</v>
      </c>
      <c r="F47" s="12">
        <f t="shared" si="3"/>
        <v>22.764250049569</v>
      </c>
      <c r="G47" s="12">
        <f t="shared" si="4"/>
        <v>518.21108031930225</v>
      </c>
      <c r="H47" s="12">
        <f t="shared" si="8"/>
        <v>1.4538414899456509</v>
      </c>
    </row>
    <row r="48" spans="1:18" x14ac:dyDescent="0.15">
      <c r="A48" s="9">
        <v>43586</v>
      </c>
      <c r="B48" s="8">
        <v>1575.7</v>
      </c>
      <c r="C48" s="11">
        <f t="shared" si="9"/>
        <v>1559.0222967949419</v>
      </c>
      <c r="D48" s="11"/>
      <c r="E48" s="12">
        <f t="shared" si="7"/>
        <v>16.677703205058151</v>
      </c>
      <c r="F48" s="12">
        <f t="shared" si="3"/>
        <v>16.677703205058151</v>
      </c>
      <c r="G48" s="12">
        <f t="shared" si="4"/>
        <v>278.1457841960069</v>
      </c>
      <c r="H48" s="12">
        <f t="shared" si="8"/>
        <v>1.0584313768520754</v>
      </c>
    </row>
    <row r="49" spans="1:8" x14ac:dyDescent="0.15">
      <c r="A49" s="9">
        <v>43617</v>
      </c>
      <c r="B49" s="8">
        <v>1570</v>
      </c>
      <c r="C49" s="11">
        <f t="shared" si="9"/>
        <v>1570.7344719364885</v>
      </c>
      <c r="D49" s="11"/>
      <c r="E49" s="12">
        <f t="shared" si="7"/>
        <v>-0.73447193648848952</v>
      </c>
      <c r="F49" s="12">
        <f t="shared" si="3"/>
        <v>0.73447193648848952</v>
      </c>
      <c r="G49" s="12">
        <f t="shared" si="4"/>
        <v>0.53944902548915175</v>
      </c>
      <c r="H49" s="12">
        <f t="shared" si="8"/>
        <v>4.6781652005636276E-2</v>
      </c>
    </row>
    <row r="50" spans="1:8" x14ac:dyDescent="0.15">
      <c r="A50" s="9">
        <v>43647</v>
      </c>
      <c r="B50" s="8">
        <v>1548.9</v>
      </c>
      <c r="C50" s="11">
        <f t="shared" si="9"/>
        <v>1570.2186776540902</v>
      </c>
      <c r="D50" s="11"/>
      <c r="E50" s="12">
        <f t="shared" si="7"/>
        <v>-21.318677654090152</v>
      </c>
      <c r="F50" s="12">
        <f t="shared" si="3"/>
        <v>21.318677654090152</v>
      </c>
      <c r="G50" s="12">
        <f t="shared" si="4"/>
        <v>454.48601691900279</v>
      </c>
      <c r="H50" s="12">
        <f t="shared" si="8"/>
        <v>1.3763753408283395</v>
      </c>
    </row>
    <row r="51" spans="1:8" x14ac:dyDescent="0.15">
      <c r="A51" s="9">
        <v>43678</v>
      </c>
      <c r="B51" s="8">
        <v>1575.1</v>
      </c>
      <c r="C51" s="11">
        <f t="shared" si="9"/>
        <v>1555.2473063926593</v>
      </c>
      <c r="D51" s="11"/>
      <c r="E51" s="12">
        <f t="shared" si="7"/>
        <v>19.852693607340598</v>
      </c>
      <c r="F51" s="12">
        <f t="shared" si="3"/>
        <v>19.852693607340598</v>
      </c>
      <c r="G51" s="12">
        <f t="shared" si="4"/>
        <v>394.12944346694223</v>
      </c>
      <c r="H51" s="12">
        <f t="shared" si="8"/>
        <v>1.26040845707197</v>
      </c>
    </row>
    <row r="52" spans="1:8" x14ac:dyDescent="0.15">
      <c r="A52" s="9">
        <v>43709</v>
      </c>
      <c r="B52" s="8">
        <v>1576.2</v>
      </c>
      <c r="C52" s="11">
        <f t="shared" si="9"/>
        <v>1569.1891676730613</v>
      </c>
      <c r="D52" s="11"/>
      <c r="E52" s="12">
        <f t="shared" si="7"/>
        <v>7.0108323269387256</v>
      </c>
      <c r="F52" s="12">
        <f t="shared" si="3"/>
        <v>7.0108323269387256</v>
      </c>
      <c r="G52" s="12">
        <f t="shared" si="4"/>
        <v>49.151769916449069</v>
      </c>
      <c r="H52" s="12">
        <f t="shared" si="8"/>
        <v>0.44479332108480685</v>
      </c>
    </row>
    <row r="53" spans="1:8" x14ac:dyDescent="0.15">
      <c r="A53" s="9">
        <v>43739</v>
      </c>
      <c r="B53" s="8">
        <v>1571.7</v>
      </c>
      <c r="C53" s="11">
        <f t="shared" si="9"/>
        <v>1574.1126331581779</v>
      </c>
      <c r="D53" s="11"/>
      <c r="E53" s="12">
        <f t="shared" si="7"/>
        <v>-2.4126331581778686</v>
      </c>
      <c r="F53" s="12">
        <f t="shared" si="3"/>
        <v>2.4126331581778686</v>
      </c>
      <c r="G53" s="12">
        <f t="shared" si="4"/>
        <v>5.8207987559393164</v>
      </c>
      <c r="H53" s="12">
        <f t="shared" si="8"/>
        <v>0.15350468652910024</v>
      </c>
    </row>
    <row r="54" spans="1:8" x14ac:dyDescent="0.15">
      <c r="A54" s="9">
        <v>43770</v>
      </c>
      <c r="B54" s="8">
        <v>1580.8</v>
      </c>
      <c r="C54" s="11">
        <f t="shared" si="9"/>
        <v>1572.418324190483</v>
      </c>
      <c r="D54" s="11"/>
      <c r="E54" s="12">
        <f t="shared" si="7"/>
        <v>8.3816758095169916</v>
      </c>
      <c r="F54" s="12">
        <f t="shared" si="3"/>
        <v>8.3816758095169916</v>
      </c>
      <c r="G54" s="12">
        <f t="shared" si="4"/>
        <v>70.252489375842316</v>
      </c>
      <c r="H54" s="12">
        <f t="shared" si="8"/>
        <v>0.53021734624980976</v>
      </c>
    </row>
    <row r="55" spans="1:8" x14ac:dyDescent="0.15">
      <c r="A55" s="9">
        <v>43800</v>
      </c>
      <c r="B55" s="8">
        <v>1590.7</v>
      </c>
      <c r="C55" s="11">
        <f t="shared" si="9"/>
        <v>1578.3044857232624</v>
      </c>
      <c r="D55" s="11"/>
      <c r="E55" s="12">
        <f t="shared" si="7"/>
        <v>12.395514276737686</v>
      </c>
      <c r="F55" s="12">
        <f t="shared" si="3"/>
        <v>12.395514276737686</v>
      </c>
      <c r="G55" s="12">
        <f t="shared" si="4"/>
        <v>153.64877418480779</v>
      </c>
      <c r="H55" s="12">
        <f t="shared" si="8"/>
        <v>0.77924902726709533</v>
      </c>
    </row>
    <row r="56" spans="1:8" x14ac:dyDescent="0.15">
      <c r="A56" s="9">
        <v>43831</v>
      </c>
      <c r="B56" s="8">
        <v>1566.5</v>
      </c>
      <c r="C56" s="11">
        <f t="shared" si="9"/>
        <v>1587.0094274285843</v>
      </c>
      <c r="D56" s="11"/>
      <c r="E56" s="12">
        <f t="shared" si="7"/>
        <v>-20.509427428584331</v>
      </c>
      <c r="F56" s="12">
        <f t="shared" si="3"/>
        <v>20.509427428584331</v>
      </c>
      <c r="G56" s="12">
        <f t="shared" si="4"/>
        <v>420.63661344836731</v>
      </c>
      <c r="H56" s="12">
        <f t="shared" si="8"/>
        <v>1.3092516711512501</v>
      </c>
    </row>
    <row r="57" spans="1:8" x14ac:dyDescent="0.15">
      <c r="A57" s="9">
        <v>43862</v>
      </c>
      <c r="B57" s="8">
        <v>1587.1</v>
      </c>
      <c r="C57" s="11">
        <f t="shared" si="9"/>
        <v>1572.606364660111</v>
      </c>
      <c r="D57" s="11"/>
      <c r="E57" s="12">
        <f t="shared" si="7"/>
        <v>14.493635339888897</v>
      </c>
      <c r="F57" s="12">
        <f t="shared" si="3"/>
        <v>14.493635339888897</v>
      </c>
      <c r="G57" s="12">
        <f t="shared" si="4"/>
        <v>210.06546536567635</v>
      </c>
      <c r="H57" s="12">
        <f t="shared" si="8"/>
        <v>0.91321500471859984</v>
      </c>
    </row>
    <row r="58" spans="1:8" x14ac:dyDescent="0.15">
      <c r="A58" s="9">
        <v>43891</v>
      </c>
      <c r="B58" s="8">
        <v>1426.1</v>
      </c>
      <c r="C58" s="11">
        <f t="shared" si="9"/>
        <v>1582.7847443477292</v>
      </c>
      <c r="D58" s="11"/>
      <c r="E58" s="12">
        <f t="shared" si="7"/>
        <v>-156.68474434772929</v>
      </c>
      <c r="F58" s="12">
        <f t="shared" si="3"/>
        <v>156.68474434772929</v>
      </c>
      <c r="G58" s="12">
        <f t="shared" si="4"/>
        <v>24550.109111313286</v>
      </c>
      <c r="H58" s="12">
        <f t="shared" si="8"/>
        <v>10.986939509692819</v>
      </c>
    </row>
    <row r="59" spans="1:8" x14ac:dyDescent="0.15">
      <c r="A59" s="9">
        <v>43922</v>
      </c>
      <c r="B59" s="8">
        <v>1241.5999999999999</v>
      </c>
      <c r="C59" s="11">
        <f t="shared" si="9"/>
        <v>1472.7504581366343</v>
      </c>
      <c r="D59" s="11"/>
      <c r="E59" s="12">
        <f t="shared" si="7"/>
        <v>-231.15045813663437</v>
      </c>
      <c r="F59" s="12">
        <f t="shared" si="3"/>
        <v>231.15045813663437</v>
      </c>
      <c r="G59" s="12">
        <f t="shared" si="4"/>
        <v>53430.534296775957</v>
      </c>
      <c r="H59" s="12">
        <f t="shared" si="8"/>
        <v>18.617143857654188</v>
      </c>
    </row>
    <row r="60" spans="1:8" x14ac:dyDescent="0.15">
      <c r="A60" s="9">
        <v>43952</v>
      </c>
      <c r="B60" s="8">
        <v>1751.8</v>
      </c>
      <c r="C60" s="11">
        <f t="shared" si="9"/>
        <v>1310.4214721570829</v>
      </c>
      <c r="D60" s="11"/>
      <c r="E60" s="12">
        <f t="shared" si="7"/>
        <v>441.37852784291704</v>
      </c>
      <c r="F60" s="12">
        <f t="shared" si="3"/>
        <v>441.37852784291704</v>
      </c>
      <c r="G60" s="12">
        <f t="shared" si="4"/>
        <v>194815.00484078069</v>
      </c>
      <c r="H60" s="12">
        <f t="shared" si="8"/>
        <v>25.195714570322931</v>
      </c>
    </row>
    <row r="61" spans="1:8" x14ac:dyDescent="0.15">
      <c r="A61" s="9">
        <v>43983</v>
      </c>
      <c r="B61" s="8">
        <v>1574.8</v>
      </c>
      <c r="C61" s="11">
        <f t="shared" si="9"/>
        <v>1620.3863730941862</v>
      </c>
      <c r="D61" s="11"/>
      <c r="E61" s="12">
        <f t="shared" si="7"/>
        <v>-45.586373094186229</v>
      </c>
      <c r="F61" s="12">
        <f t="shared" si="3"/>
        <v>45.586373094186229</v>
      </c>
      <c r="G61" s="12">
        <f t="shared" si="4"/>
        <v>2078.117411882346</v>
      </c>
      <c r="H61" s="12">
        <f t="shared" si="8"/>
        <v>2.8947404809617874</v>
      </c>
    </row>
    <row r="62" spans="1:8" x14ac:dyDescent="0.15">
      <c r="A62" s="9">
        <v>44013</v>
      </c>
      <c r="B62" s="8">
        <v>1630.6</v>
      </c>
      <c r="C62" s="11">
        <f t="shared" si="9"/>
        <v>1588.3726371988821</v>
      </c>
      <c r="D62" s="11"/>
      <c r="E62" s="12">
        <f t="shared" si="7"/>
        <v>42.227362801117806</v>
      </c>
      <c r="F62" s="12">
        <f t="shared" si="3"/>
        <v>42.227362801117806</v>
      </c>
      <c r="G62" s="12">
        <f t="shared" si="4"/>
        <v>1783.1501691372277</v>
      </c>
      <c r="H62" s="12">
        <f t="shared" si="8"/>
        <v>2.5896824973088317</v>
      </c>
    </row>
    <row r="63" spans="1:8" x14ac:dyDescent="0.15">
      <c r="A63" s="9">
        <v>44044</v>
      </c>
      <c r="B63" s="8">
        <v>1470.1</v>
      </c>
      <c r="C63" s="11">
        <f t="shared" si="9"/>
        <v>1618.0274561395577</v>
      </c>
      <c r="D63" s="11"/>
      <c r="E63" s="12">
        <f t="shared" si="7"/>
        <v>-147.92745613955776</v>
      </c>
      <c r="F63" s="12">
        <f t="shared" si="3"/>
        <v>147.92745613955776</v>
      </c>
      <c r="G63" s="12">
        <f t="shared" si="4"/>
        <v>21882.532279920786</v>
      </c>
      <c r="H63" s="12">
        <f t="shared" si="8"/>
        <v>10.062407736858566</v>
      </c>
    </row>
    <row r="64" spans="1:8" x14ac:dyDescent="0.15">
      <c r="A64" s="9">
        <v>44075</v>
      </c>
      <c r="B64" s="8">
        <v>1466.6</v>
      </c>
      <c r="C64" s="11">
        <f t="shared" si="9"/>
        <v>1514.1431110803114</v>
      </c>
      <c r="D64" s="11"/>
      <c r="E64" s="12">
        <f t="shared" si="7"/>
        <v>-47.543111080311519</v>
      </c>
      <c r="F64" s="12">
        <f t="shared" si="3"/>
        <v>47.543111080311519</v>
      </c>
      <c r="G64" s="12">
        <f t="shared" si="4"/>
        <v>2260.3474111948399</v>
      </c>
      <c r="H64" s="12">
        <f t="shared" si="8"/>
        <v>3.2417231065260821</v>
      </c>
    </row>
    <row r="65" spans="1:8" x14ac:dyDescent="0.15">
      <c r="A65" s="9">
        <v>44105</v>
      </c>
      <c r="B65" s="8">
        <v>1590.5</v>
      </c>
      <c r="C65" s="11">
        <f t="shared" si="9"/>
        <v>1480.7552256562722</v>
      </c>
      <c r="D65" s="11"/>
      <c r="E65" s="12">
        <f t="shared" si="7"/>
        <v>109.74477434372784</v>
      </c>
      <c r="F65" s="12">
        <f t="shared" si="3"/>
        <v>109.74477434372784</v>
      </c>
      <c r="G65" s="12">
        <f t="shared" si="4"/>
        <v>12043.915495755744</v>
      </c>
      <c r="H65" s="12">
        <f t="shared" si="8"/>
        <v>6.9000172488983242</v>
      </c>
    </row>
    <row r="66" spans="1:8" x14ac:dyDescent="0.15">
      <c r="A66" s="9">
        <v>44136</v>
      </c>
      <c r="B66" s="8">
        <v>1809</v>
      </c>
      <c r="C66" s="11">
        <f t="shared" si="9"/>
        <v>1557.8251915969913</v>
      </c>
      <c r="D66" s="11"/>
      <c r="E66" s="12">
        <f t="shared" ref="E66:E97" si="10">B66-C66</f>
        <v>251.17480840300868</v>
      </c>
      <c r="F66" s="12">
        <f t="shared" si="3"/>
        <v>251.17480840300868</v>
      </c>
      <c r="G66" s="12">
        <f t="shared" si="4"/>
        <v>63088.784376288124</v>
      </c>
      <c r="H66" s="12">
        <f t="shared" ref="H66:H97" si="11">(F66/B66)*100</f>
        <v>13.884732360586439</v>
      </c>
    </row>
    <row r="67" spans="1:8" x14ac:dyDescent="0.15">
      <c r="A67" s="9">
        <v>44166</v>
      </c>
      <c r="B67" s="8">
        <v>1701</v>
      </c>
      <c r="C67" s="11">
        <f t="shared" ref="C67:C97" si="12">$L$2*B66+(1-$L$2)*C66</f>
        <v>1734.2165874019151</v>
      </c>
      <c r="D67" s="11"/>
      <c r="E67" s="12">
        <f t="shared" si="10"/>
        <v>-33.216587401915149</v>
      </c>
      <c r="F67" s="12">
        <f t="shared" ref="F67:F96" si="13">ABS(E67)</f>
        <v>33.216587401915149</v>
      </c>
      <c r="G67" s="12">
        <f t="shared" ref="G67:G96" si="14">E67*E67</f>
        <v>1103.3416786290682</v>
      </c>
      <c r="H67" s="12">
        <f t="shared" si="11"/>
        <v>1.9527682188074749</v>
      </c>
    </row>
    <row r="68" spans="1:8" x14ac:dyDescent="0.15">
      <c r="A68" s="9">
        <v>44197</v>
      </c>
      <c r="B68" s="8">
        <v>1678</v>
      </c>
      <c r="C68" s="11">
        <f t="shared" si="12"/>
        <v>1710.8897249153752</v>
      </c>
      <c r="D68" s="11"/>
      <c r="E68" s="12">
        <f t="shared" si="10"/>
        <v>-32.889724915375155</v>
      </c>
      <c r="F68" s="12">
        <f t="shared" si="13"/>
        <v>32.889724915375155</v>
      </c>
      <c r="G68" s="12">
        <f t="shared" si="14"/>
        <v>1081.7340050090493</v>
      </c>
      <c r="H68" s="12">
        <f t="shared" si="11"/>
        <v>1.9600551201057901</v>
      </c>
    </row>
    <row r="69" spans="1:8" x14ac:dyDescent="0.15">
      <c r="A69" s="9">
        <v>44228</v>
      </c>
      <c r="B69" s="8">
        <v>1672.8</v>
      </c>
      <c r="C69" s="11">
        <f t="shared" si="12"/>
        <v>1687.7924066677801</v>
      </c>
      <c r="D69" s="11"/>
      <c r="E69" s="12">
        <f t="shared" si="10"/>
        <v>-14.992406667780187</v>
      </c>
      <c r="F69" s="12">
        <f t="shared" si="13"/>
        <v>14.992406667780187</v>
      </c>
      <c r="G69" s="12">
        <f t="shared" si="14"/>
        <v>224.77225769209983</v>
      </c>
      <c r="H69" s="12">
        <f t="shared" si="11"/>
        <v>0.89624621399929383</v>
      </c>
    </row>
    <row r="70" spans="1:8" x14ac:dyDescent="0.15">
      <c r="A70" s="9">
        <v>44256</v>
      </c>
      <c r="B70" s="8">
        <v>1786.1</v>
      </c>
      <c r="C70" s="11">
        <f t="shared" si="12"/>
        <v>1677.2637570973118</v>
      </c>
      <c r="D70" s="11"/>
      <c r="E70" s="12">
        <f t="shared" si="10"/>
        <v>108.83624290268813</v>
      </c>
      <c r="F70" s="12">
        <f t="shared" si="13"/>
        <v>108.83624290268813</v>
      </c>
      <c r="G70" s="12">
        <f t="shared" si="14"/>
        <v>11845.327769172931</v>
      </c>
      <c r="H70" s="12">
        <f t="shared" si="11"/>
        <v>6.0935134036553453</v>
      </c>
    </row>
    <row r="71" spans="1:8" x14ac:dyDescent="0.15">
      <c r="A71" s="9">
        <v>44287</v>
      </c>
      <c r="B71" s="8">
        <v>1713.6</v>
      </c>
      <c r="C71" s="11">
        <f t="shared" si="12"/>
        <v>1753.6956927752167</v>
      </c>
      <c r="D71" s="11"/>
      <c r="E71" s="12">
        <f t="shared" si="10"/>
        <v>-40.095692775216776</v>
      </c>
      <c r="F71" s="12">
        <f t="shared" si="13"/>
        <v>40.095692775216776</v>
      </c>
      <c r="G71" s="12">
        <f t="shared" si="14"/>
        <v>1607.6645791245708</v>
      </c>
      <c r="H71" s="12">
        <f t="shared" si="11"/>
        <v>2.3398513524286169</v>
      </c>
    </row>
    <row r="72" spans="1:8" x14ac:dyDescent="0.15">
      <c r="A72" s="9">
        <v>44317</v>
      </c>
      <c r="B72" s="8">
        <v>1673</v>
      </c>
      <c r="C72" s="11">
        <f t="shared" si="12"/>
        <v>1725.537872095055</v>
      </c>
      <c r="D72" s="11"/>
      <c r="E72" s="12">
        <f t="shared" si="10"/>
        <v>-52.537872095055036</v>
      </c>
      <c r="F72" s="12">
        <f t="shared" si="13"/>
        <v>52.537872095055036</v>
      </c>
      <c r="G72" s="12">
        <f t="shared" si="14"/>
        <v>2760.2280042763628</v>
      </c>
      <c r="H72" s="12">
        <f t="shared" si="11"/>
        <v>3.1403390373613291</v>
      </c>
    </row>
    <row r="73" spans="1:8" x14ac:dyDescent="0.15">
      <c r="A73" s="9">
        <v>44348</v>
      </c>
      <c r="B73" s="8">
        <v>1566.2</v>
      </c>
      <c r="C73" s="11">
        <f t="shared" si="12"/>
        <v>1688.642338460973</v>
      </c>
      <c r="D73" s="11"/>
      <c r="E73" s="12">
        <f t="shared" si="10"/>
        <v>-122.44233846097291</v>
      </c>
      <c r="F73" s="12">
        <f t="shared" si="13"/>
        <v>122.44233846097291</v>
      </c>
      <c r="G73" s="12">
        <f t="shared" si="14"/>
        <v>14992.126247791444</v>
      </c>
      <c r="H73" s="12">
        <f t="shared" si="11"/>
        <v>7.8177971179270136</v>
      </c>
    </row>
    <row r="74" spans="1:8" x14ac:dyDescent="0.15">
      <c r="A74" s="9">
        <v>44378</v>
      </c>
      <c r="B74" s="8">
        <v>1395.6</v>
      </c>
      <c r="C74" s="11">
        <f t="shared" si="12"/>
        <v>1602.6553116406064</v>
      </c>
      <c r="D74" s="11"/>
      <c r="E74" s="12">
        <f t="shared" si="10"/>
        <v>-207.05531164060653</v>
      </c>
      <c r="F74" s="12">
        <f t="shared" si="13"/>
        <v>207.05531164060653</v>
      </c>
      <c r="G74" s="12">
        <f t="shared" si="14"/>
        <v>42871.90207858869</v>
      </c>
      <c r="H74" s="12">
        <f t="shared" si="11"/>
        <v>14.836293468085881</v>
      </c>
    </row>
    <row r="75" spans="1:8" x14ac:dyDescent="0.15">
      <c r="A75" s="9">
        <v>44409</v>
      </c>
      <c r="B75" s="8">
        <v>1221.2</v>
      </c>
      <c r="C75" s="11">
        <f t="shared" si="12"/>
        <v>1457.2475151289855</v>
      </c>
      <c r="D75" s="11"/>
      <c r="E75" s="12">
        <f t="shared" si="10"/>
        <v>-236.04751512898542</v>
      </c>
      <c r="F75" s="12">
        <f t="shared" si="13"/>
        <v>236.04751512898542</v>
      </c>
      <c r="G75" s="12">
        <f t="shared" si="14"/>
        <v>55718.429398568602</v>
      </c>
      <c r="H75" s="12">
        <f t="shared" si="11"/>
        <v>19.329144704306046</v>
      </c>
    </row>
    <row r="76" spans="1:8" x14ac:dyDescent="0.15">
      <c r="A76" s="9">
        <v>44440</v>
      </c>
      <c r="B76" s="8">
        <v>1234.5</v>
      </c>
      <c r="C76" s="11">
        <f t="shared" si="12"/>
        <v>1291.4794951009592</v>
      </c>
      <c r="D76" s="11"/>
      <c r="E76" s="12">
        <f t="shared" si="10"/>
        <v>-56.979495100959184</v>
      </c>
      <c r="F76" s="12">
        <f t="shared" si="13"/>
        <v>56.979495100959184</v>
      </c>
      <c r="G76" s="12">
        <f t="shared" si="14"/>
        <v>3246.6628619602316</v>
      </c>
      <c r="H76" s="12">
        <f t="shared" si="11"/>
        <v>4.6155929607905382</v>
      </c>
    </row>
    <row r="77" spans="1:8" x14ac:dyDescent="0.15">
      <c r="A77" s="9">
        <v>44470</v>
      </c>
      <c r="B77" s="8">
        <v>1525.4</v>
      </c>
      <c r="C77" s="11">
        <f t="shared" si="12"/>
        <v>1251.4647629826343</v>
      </c>
      <c r="D77" s="11"/>
      <c r="E77" s="12">
        <f t="shared" si="10"/>
        <v>273.93523701736581</v>
      </c>
      <c r="F77" s="12">
        <f t="shared" si="13"/>
        <v>273.93523701736581</v>
      </c>
      <c r="G77" s="12">
        <f t="shared" si="14"/>
        <v>75040.514079760382</v>
      </c>
      <c r="H77" s="12">
        <f t="shared" si="11"/>
        <v>17.958255999565083</v>
      </c>
    </row>
    <row r="78" spans="1:8" x14ac:dyDescent="0.15">
      <c r="A78" s="9">
        <v>44501</v>
      </c>
      <c r="B78" s="8">
        <v>1800.2</v>
      </c>
      <c r="C78" s="11">
        <f t="shared" si="12"/>
        <v>1443.8400219700598</v>
      </c>
      <c r="D78" s="11"/>
      <c r="E78" s="12">
        <f t="shared" si="10"/>
        <v>356.35997802994029</v>
      </c>
      <c r="F78" s="12">
        <f t="shared" si="13"/>
        <v>356.35997802994029</v>
      </c>
      <c r="G78" s="12">
        <f t="shared" si="14"/>
        <v>126992.43394149953</v>
      </c>
      <c r="H78" s="12">
        <f t="shared" si="11"/>
        <v>19.795577048657943</v>
      </c>
    </row>
    <row r="79" spans="1:8" x14ac:dyDescent="0.15">
      <c r="A79" s="9">
        <v>44531</v>
      </c>
      <c r="B79" s="8">
        <v>1582.7</v>
      </c>
      <c r="C79" s="11">
        <f t="shared" si="12"/>
        <v>1694.0993307493718</v>
      </c>
      <c r="D79" s="11"/>
      <c r="E79" s="12">
        <f t="shared" si="10"/>
        <v>-111.39933074937176</v>
      </c>
      <c r="F79" s="12">
        <f t="shared" si="13"/>
        <v>111.39933074937176</v>
      </c>
      <c r="G79" s="12">
        <f t="shared" si="14"/>
        <v>12409.810891407924</v>
      </c>
      <c r="H79" s="12">
        <f t="shared" si="11"/>
        <v>7.0385626302755897</v>
      </c>
    </row>
    <row r="80" spans="1:8" x14ac:dyDescent="0.15">
      <c r="A80" s="9">
        <v>44562</v>
      </c>
      <c r="B80" s="8">
        <v>1629.3</v>
      </c>
      <c r="C80" s="11">
        <f t="shared" si="12"/>
        <v>1615.867426970678</v>
      </c>
      <c r="D80" s="11"/>
      <c r="E80" s="12">
        <f t="shared" si="10"/>
        <v>13.432573029321929</v>
      </c>
      <c r="F80" s="12">
        <f t="shared" si="13"/>
        <v>13.432573029321929</v>
      </c>
      <c r="G80" s="12">
        <f t="shared" si="14"/>
        <v>180.43401818806691</v>
      </c>
      <c r="H80" s="12">
        <f t="shared" si="11"/>
        <v>0.82443828818031861</v>
      </c>
    </row>
    <row r="81" spans="1:8" x14ac:dyDescent="0.15">
      <c r="A81" s="9">
        <v>44593</v>
      </c>
      <c r="B81" s="8">
        <v>1752.4</v>
      </c>
      <c r="C81" s="11">
        <f t="shared" si="12"/>
        <v>1625.3006592321394</v>
      </c>
      <c r="D81" s="11"/>
      <c r="E81" s="12">
        <f t="shared" si="10"/>
        <v>127.09934076786067</v>
      </c>
      <c r="F81" s="12">
        <f t="shared" si="13"/>
        <v>127.09934076786067</v>
      </c>
      <c r="G81" s="12">
        <f t="shared" si="14"/>
        <v>16154.242423624768</v>
      </c>
      <c r="H81" s="12">
        <f t="shared" si="11"/>
        <v>7.2528726756368789</v>
      </c>
    </row>
    <row r="82" spans="1:8" x14ac:dyDescent="0.15">
      <c r="A82" s="9">
        <v>44621</v>
      </c>
      <c r="B82" s="8">
        <v>1801.2</v>
      </c>
      <c r="C82" s="11">
        <f t="shared" si="12"/>
        <v>1714.5581379835796</v>
      </c>
      <c r="D82" s="11"/>
      <c r="E82" s="12">
        <f t="shared" si="10"/>
        <v>86.641862016420419</v>
      </c>
      <c r="F82" s="12">
        <f t="shared" si="13"/>
        <v>86.641862016420419</v>
      </c>
      <c r="G82" s="12">
        <f t="shared" si="14"/>
        <v>7506.812253672435</v>
      </c>
      <c r="H82" s="12">
        <f t="shared" si="11"/>
        <v>4.810229958717545</v>
      </c>
    </row>
    <row r="83" spans="1:8" x14ac:dyDescent="0.15">
      <c r="A83" s="9">
        <v>44652</v>
      </c>
      <c r="B83" s="8">
        <v>1800.1</v>
      </c>
      <c r="C83" s="11">
        <f t="shared" si="12"/>
        <v>1775.403726254887</v>
      </c>
      <c r="D83" s="11"/>
      <c r="E83" s="12">
        <f t="shared" si="10"/>
        <v>24.696273745112876</v>
      </c>
      <c r="F83" s="12">
        <f t="shared" si="13"/>
        <v>24.696273745112876</v>
      </c>
      <c r="G83" s="12">
        <f t="shared" si="14"/>
        <v>609.9059368935516</v>
      </c>
      <c r="H83" s="12">
        <f t="shared" si="11"/>
        <v>1.3719389892290914</v>
      </c>
    </row>
    <row r="84" spans="1:8" x14ac:dyDescent="0.15">
      <c r="A84" s="9">
        <v>44682</v>
      </c>
      <c r="B84" s="8">
        <v>1843.7</v>
      </c>
      <c r="C84" s="11">
        <f t="shared" si="12"/>
        <v>1792.747066635151</v>
      </c>
      <c r="D84" s="11"/>
      <c r="E84" s="12">
        <f t="shared" si="10"/>
        <v>50.952933364849059</v>
      </c>
      <c r="F84" s="12">
        <f t="shared" si="13"/>
        <v>50.952933364849059</v>
      </c>
      <c r="G84" s="12">
        <f t="shared" si="14"/>
        <v>2596.2014184827485</v>
      </c>
      <c r="H84" s="12">
        <f t="shared" si="11"/>
        <v>2.7636238739951762</v>
      </c>
    </row>
    <row r="85" spans="1:8" x14ac:dyDescent="0.15">
      <c r="A85" s="9">
        <v>44713</v>
      </c>
      <c r="B85" s="8">
        <v>1851.2</v>
      </c>
      <c r="C85" s="11">
        <f t="shared" si="12"/>
        <v>1828.5295525210777</v>
      </c>
      <c r="D85" s="11"/>
      <c r="E85" s="12">
        <f t="shared" si="10"/>
        <v>22.67044747892237</v>
      </c>
      <c r="F85" s="12">
        <f t="shared" si="13"/>
        <v>22.67044747892237</v>
      </c>
      <c r="G85" s="12">
        <f t="shared" si="14"/>
        <v>513.94918889457767</v>
      </c>
      <c r="H85" s="12">
        <f t="shared" si="11"/>
        <v>1.2246352354646914</v>
      </c>
    </row>
    <row r="86" spans="1:8" x14ac:dyDescent="0.15">
      <c r="A86" s="9">
        <v>44743</v>
      </c>
      <c r="B86" s="8">
        <v>1870.1</v>
      </c>
      <c r="C86" s="11">
        <f t="shared" si="12"/>
        <v>1844.4502250588794</v>
      </c>
      <c r="D86" s="11"/>
      <c r="E86" s="12">
        <f t="shared" si="10"/>
        <v>25.64977494112054</v>
      </c>
      <c r="F86" s="12">
        <f t="shared" si="13"/>
        <v>25.64977494112054</v>
      </c>
      <c r="G86" s="12">
        <f t="shared" si="14"/>
        <v>657.9109545301352</v>
      </c>
      <c r="H86" s="12">
        <f t="shared" si="11"/>
        <v>1.3715723726603144</v>
      </c>
    </row>
    <row r="87" spans="1:8" x14ac:dyDescent="0.15">
      <c r="A87" s="9">
        <v>44774</v>
      </c>
      <c r="B87" s="8">
        <v>1893.2</v>
      </c>
      <c r="C87" s="11">
        <f t="shared" si="12"/>
        <v>1862.4631764082321</v>
      </c>
      <c r="D87" s="11"/>
      <c r="E87" s="12">
        <f t="shared" si="10"/>
        <v>30.736823591767916</v>
      </c>
      <c r="F87" s="12">
        <f t="shared" si="13"/>
        <v>30.736823591767916</v>
      </c>
      <c r="G87" s="12">
        <f t="shared" si="14"/>
        <v>944.75232451146076</v>
      </c>
      <c r="H87" s="12">
        <f t="shared" si="11"/>
        <v>1.6235381149254127</v>
      </c>
    </row>
    <row r="88" spans="1:8" x14ac:dyDescent="0.15">
      <c r="A88" s="9">
        <v>44805</v>
      </c>
      <c r="B88" s="8">
        <v>1887.9</v>
      </c>
      <c r="C88" s="11">
        <f t="shared" si="12"/>
        <v>1884.0485863879726</v>
      </c>
      <c r="D88" s="11"/>
      <c r="E88" s="12">
        <f t="shared" si="10"/>
        <v>3.8514136120274998</v>
      </c>
      <c r="F88" s="12">
        <f t="shared" si="13"/>
        <v>3.8514136120274998</v>
      </c>
      <c r="G88" s="12">
        <f t="shared" si="14"/>
        <v>14.833386810910712</v>
      </c>
      <c r="H88" s="12">
        <f t="shared" si="11"/>
        <v>0.20400517040243127</v>
      </c>
    </row>
    <row r="89" spans="1:8" x14ac:dyDescent="0.15">
      <c r="A89" s="9">
        <v>44835</v>
      </c>
      <c r="B89" s="8">
        <v>1895.8</v>
      </c>
      <c r="C89" s="11">
        <f t="shared" si="12"/>
        <v>1886.7533011926421</v>
      </c>
      <c r="D89" s="11"/>
      <c r="E89" s="12">
        <f t="shared" si="10"/>
        <v>9.0466988073578705</v>
      </c>
      <c r="F89" s="12">
        <f t="shared" si="13"/>
        <v>9.0466988073578705</v>
      </c>
      <c r="G89" s="12">
        <f t="shared" si="14"/>
        <v>81.842759311050315</v>
      </c>
      <c r="H89" s="12">
        <f t="shared" si="11"/>
        <v>0.47719689879511928</v>
      </c>
    </row>
    <row r="90" spans="1:8" x14ac:dyDescent="0.15">
      <c r="A90" s="9">
        <v>44866</v>
      </c>
      <c r="B90" s="8">
        <v>1908.3</v>
      </c>
      <c r="C90" s="11">
        <f t="shared" si="12"/>
        <v>1893.1064854160225</v>
      </c>
      <c r="D90" s="11"/>
      <c r="E90" s="12">
        <f t="shared" si="10"/>
        <v>15.193514583977503</v>
      </c>
      <c r="F90" s="12">
        <f t="shared" si="13"/>
        <v>15.193514583977503</v>
      </c>
      <c r="G90" s="12">
        <f t="shared" si="14"/>
        <v>230.84288541353709</v>
      </c>
      <c r="H90" s="12">
        <f t="shared" si="11"/>
        <v>0.79618061017541819</v>
      </c>
    </row>
    <row r="91" spans="1:8" x14ac:dyDescent="0.15">
      <c r="A91" s="9">
        <v>44896</v>
      </c>
      <c r="B91" s="8">
        <v>1772.8</v>
      </c>
      <c r="C91" s="11">
        <f t="shared" si="12"/>
        <v>1903.7763661325243</v>
      </c>
      <c r="D91" s="11"/>
      <c r="E91" s="12">
        <f t="shared" si="10"/>
        <v>-130.97636613252439</v>
      </c>
      <c r="F91" s="12">
        <f t="shared" si="13"/>
        <v>130.97636613252439</v>
      </c>
      <c r="G91" s="12">
        <f t="shared" si="14"/>
        <v>17154.808485281083</v>
      </c>
      <c r="H91" s="12">
        <f t="shared" si="11"/>
        <v>7.3881072953815661</v>
      </c>
    </row>
    <row r="92" spans="1:8" x14ac:dyDescent="0.15">
      <c r="A92" s="16">
        <v>44927</v>
      </c>
      <c r="B92" s="8">
        <v>1901.5</v>
      </c>
      <c r="C92" s="15">
        <f t="shared" si="12"/>
        <v>1811.7961863268174</v>
      </c>
      <c r="D92" s="11"/>
      <c r="E92" s="12">
        <f t="shared" si="10"/>
        <v>89.703813673182594</v>
      </c>
      <c r="F92" s="12">
        <f t="shared" si="13"/>
        <v>89.703813673182594</v>
      </c>
      <c r="G92" s="12">
        <f t="shared" si="14"/>
        <v>8046.7741875130605</v>
      </c>
      <c r="H92" s="12">
        <f t="shared" si="11"/>
        <v>4.7175289862310068</v>
      </c>
    </row>
    <row r="93" spans="1:8" x14ac:dyDescent="0.15">
      <c r="A93" s="9">
        <v>44958</v>
      </c>
      <c r="B93" s="8">
        <v>1882.1</v>
      </c>
      <c r="C93" s="11">
        <f t="shared" si="12"/>
        <v>1874.7920775288108</v>
      </c>
      <c r="D93" s="11"/>
      <c r="E93" s="12">
        <f t="shared" si="10"/>
        <v>7.3079224711891584</v>
      </c>
      <c r="F93" s="12">
        <f t="shared" si="13"/>
        <v>7.3079224711891584</v>
      </c>
      <c r="G93" s="12">
        <f t="shared" si="14"/>
        <v>53.405730844911453</v>
      </c>
      <c r="H93" s="12">
        <f t="shared" si="11"/>
        <v>0.38828555715366658</v>
      </c>
    </row>
    <row r="94" spans="1:8" x14ac:dyDescent="0.15">
      <c r="A94" s="9">
        <v>44986</v>
      </c>
      <c r="B94" s="8">
        <v>1896.2</v>
      </c>
      <c r="C94" s="11">
        <f t="shared" si="12"/>
        <v>1879.9241791648114</v>
      </c>
      <c r="D94" s="11"/>
      <c r="E94" s="12">
        <f t="shared" si="10"/>
        <v>16.275820835188597</v>
      </c>
      <c r="F94" s="12">
        <f t="shared" si="13"/>
        <v>16.275820835188597</v>
      </c>
      <c r="G94" s="12">
        <f t="shared" si="14"/>
        <v>264.90234385915926</v>
      </c>
      <c r="H94" s="12">
        <f t="shared" si="11"/>
        <v>0.85833882687420082</v>
      </c>
    </row>
    <row r="95" spans="1:8" x14ac:dyDescent="0.15">
      <c r="A95" s="9">
        <v>45017</v>
      </c>
      <c r="B95" s="8">
        <v>1915.5</v>
      </c>
      <c r="C95" s="11">
        <f t="shared" si="12"/>
        <v>1891.3541261935093</v>
      </c>
      <c r="D95" s="11"/>
      <c r="E95" s="12">
        <f t="shared" si="10"/>
        <v>24.145873806490727</v>
      </c>
      <c r="F95" s="12">
        <f t="shared" si="13"/>
        <v>24.145873806490727</v>
      </c>
      <c r="G95" s="12">
        <f t="shared" si="14"/>
        <v>583.02322187897494</v>
      </c>
      <c r="H95" s="12">
        <f t="shared" si="11"/>
        <v>1.2605520128682186</v>
      </c>
    </row>
    <row r="96" spans="1:8" x14ac:dyDescent="0.15">
      <c r="A96" s="9">
        <v>45047</v>
      </c>
      <c r="B96" s="8">
        <v>1904.8</v>
      </c>
      <c r="C96" s="11">
        <f t="shared" si="12"/>
        <v>1908.3109397001515</v>
      </c>
      <c r="D96" s="11"/>
      <c r="E96" s="12">
        <f t="shared" si="10"/>
        <v>-3.510939700151539</v>
      </c>
      <c r="F96" s="12">
        <f t="shared" si="13"/>
        <v>3.510939700151539</v>
      </c>
      <c r="G96" s="12">
        <f t="shared" si="14"/>
        <v>12.326697578100179</v>
      </c>
      <c r="H96" s="12">
        <f t="shared" si="11"/>
        <v>0.18432064784499891</v>
      </c>
    </row>
    <row r="97" spans="1:8" x14ac:dyDescent="0.15">
      <c r="A97" s="9">
        <v>45078</v>
      </c>
      <c r="B97" s="8">
        <v>1814.1</v>
      </c>
      <c r="C97" s="11">
        <f t="shared" si="12"/>
        <v>1905.8453279684886</v>
      </c>
      <c r="D97" s="11">
        <f>C97</f>
        <v>1905.8453279684886</v>
      </c>
      <c r="E97" s="12">
        <f t="shared" si="10"/>
        <v>-91.745327968488709</v>
      </c>
      <c r="F97" s="12">
        <f>ABS(E97)</f>
        <v>91.745327968488709</v>
      </c>
      <c r="G97" s="12">
        <f>E97*E97</f>
        <v>8417.2052040455565</v>
      </c>
      <c r="H97" s="12">
        <f t="shared" si="11"/>
        <v>5.0573467817920017</v>
      </c>
    </row>
    <row r="98" spans="1:8" x14ac:dyDescent="0.15">
      <c r="A98" s="9">
        <v>45108</v>
      </c>
      <c r="C98" s="11"/>
      <c r="D98" s="11">
        <f>$L$2*B97+(1-$L$2)*C97</f>
        <v>1841.4157517628346</v>
      </c>
      <c r="E98" s="12"/>
    </row>
    <row r="99" spans="1:8" x14ac:dyDescent="0.15">
      <c r="A99" s="9">
        <v>45139</v>
      </c>
      <c r="C99" s="11"/>
      <c r="D99" s="11">
        <f>D98</f>
        <v>1841.4157517628346</v>
      </c>
      <c r="E99" s="12"/>
    </row>
    <row r="100" spans="1:8" x14ac:dyDescent="0.15">
      <c r="A100" s="9">
        <v>45170</v>
      </c>
      <c r="C100" s="11"/>
      <c r="D100" s="11">
        <f t="shared" ref="D100:D109" si="15">D99</f>
        <v>1841.4157517628346</v>
      </c>
      <c r="E100" s="12"/>
    </row>
    <row r="101" spans="1:8" x14ac:dyDescent="0.15">
      <c r="A101" s="9">
        <v>45200</v>
      </c>
      <c r="C101" s="11"/>
      <c r="D101" s="11">
        <f t="shared" si="15"/>
        <v>1841.4157517628346</v>
      </c>
      <c r="E101" s="12"/>
      <c r="F101" s="28" t="s">
        <v>48</v>
      </c>
      <c r="G101" s="28" t="s">
        <v>49</v>
      </c>
      <c r="H101" s="28" t="s">
        <v>50</v>
      </c>
    </row>
    <row r="102" spans="1:8" x14ac:dyDescent="0.15">
      <c r="A102" s="9">
        <v>45231</v>
      </c>
      <c r="C102" s="11"/>
      <c r="D102" s="11">
        <f t="shared" si="15"/>
        <v>1841.4157517628346</v>
      </c>
      <c r="E102" s="12"/>
      <c r="F102" s="14">
        <f>AVERAGE(F2:F97)</f>
        <v>49.790124268121559</v>
      </c>
      <c r="G102" s="14">
        <f>AVERAGE(G2:G97)</f>
        <v>8471.9869452685343</v>
      </c>
      <c r="H102" s="24">
        <f t="shared" ref="H102" si="16">AVERAGE(H2:H97)</f>
        <v>3.140140716286147</v>
      </c>
    </row>
    <row r="103" spans="1:8" x14ac:dyDescent="0.15">
      <c r="A103" s="9">
        <v>45261</v>
      </c>
      <c r="C103" s="11"/>
      <c r="D103" s="11">
        <f t="shared" si="15"/>
        <v>1841.4157517628346</v>
      </c>
      <c r="E103" s="12"/>
    </row>
    <row r="104" spans="1:8" x14ac:dyDescent="0.15">
      <c r="A104" s="9">
        <v>45292</v>
      </c>
      <c r="C104" s="11"/>
      <c r="D104" s="11">
        <f t="shared" si="15"/>
        <v>1841.4157517628346</v>
      </c>
      <c r="E104" s="12"/>
      <c r="G104" s="28" t="s">
        <v>51</v>
      </c>
    </row>
    <row r="105" spans="1:8" x14ac:dyDescent="0.15">
      <c r="A105" s="9">
        <v>45323</v>
      </c>
      <c r="C105" s="11"/>
      <c r="D105" s="11">
        <f t="shared" si="15"/>
        <v>1841.4157517628346</v>
      </c>
      <c r="E105" s="12"/>
      <c r="G105" s="14">
        <f>SQRT(G102)</f>
        <v>92.043397075882282</v>
      </c>
    </row>
    <row r="106" spans="1:8" x14ac:dyDescent="0.15">
      <c r="A106" s="9">
        <v>45352</v>
      </c>
      <c r="C106" s="11"/>
      <c r="D106" s="11">
        <f t="shared" si="15"/>
        <v>1841.4157517628346</v>
      </c>
      <c r="E106" s="12"/>
    </row>
    <row r="107" spans="1:8" x14ac:dyDescent="0.15">
      <c r="A107" s="9">
        <v>45383</v>
      </c>
      <c r="C107" s="11"/>
      <c r="D107" s="11">
        <f t="shared" si="15"/>
        <v>1841.4157517628346</v>
      </c>
      <c r="E107" s="12"/>
    </row>
    <row r="108" spans="1:8" x14ac:dyDescent="0.15">
      <c r="A108" s="9">
        <v>45413</v>
      </c>
      <c r="C108" s="11"/>
      <c r="D108" s="11">
        <f t="shared" si="15"/>
        <v>1841.4157517628346</v>
      </c>
      <c r="E108" s="12"/>
    </row>
    <row r="109" spans="1:8" x14ac:dyDescent="0.15">
      <c r="A109" s="16">
        <v>45444</v>
      </c>
      <c r="C109" s="11"/>
      <c r="D109" s="15">
        <f t="shared" si="15"/>
        <v>1841.4157517628346</v>
      </c>
      <c r="E109" s="12"/>
    </row>
  </sheetData>
  <pageMargins left="0.7" right="0.7" top="0.75" bottom="0.75" header="0.3" footer="0.3"/>
  <pageSetup paperSize="0" orientation="portrait" horizontalDpi="0" verticalDpi="0" copies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2035-F545-874C-BEDC-9F60DC5230FD}">
  <dimension ref="A1:U109"/>
  <sheetViews>
    <sheetView zoomScaleNormal="100" workbookViewId="0">
      <pane xSplit="1" ySplit="1" topLeftCell="I3" activePane="bottomRight" state="frozen"/>
      <selection pane="topRight" activeCell="B1" sqref="B1"/>
      <selection pane="bottomLeft" activeCell="A11" sqref="A11"/>
      <selection pane="bottomRight" activeCell="R67" sqref="R67"/>
    </sheetView>
  </sheetViews>
  <sheetFormatPr baseColWidth="10" defaultColWidth="14.6640625" defaultRowHeight="11" x14ac:dyDescent="0.15"/>
  <cols>
    <col min="1" max="1" width="14.6640625" style="1"/>
    <col min="2" max="2" width="17" style="1" customWidth="1"/>
    <col min="3" max="3" width="12.1640625" style="1" customWidth="1"/>
    <col min="4" max="4" width="11.33203125" style="1" customWidth="1"/>
    <col min="5" max="5" width="16.33203125" style="1" customWidth="1"/>
    <col min="6" max="6" width="15.83203125" style="1" bestFit="1" customWidth="1"/>
    <col min="7" max="7" width="7" style="1" customWidth="1"/>
    <col min="8" max="10" width="14.6640625" style="1"/>
    <col min="11" max="11" width="17.5" style="1" bestFit="1" customWidth="1"/>
    <col min="12" max="16384" width="14.6640625" style="1"/>
  </cols>
  <sheetData>
    <row r="1" spans="1:21" s="33" customFormat="1" ht="23" customHeight="1" x14ac:dyDescent="0.2">
      <c r="A1" s="31" t="s">
        <v>76</v>
      </c>
      <c r="B1" s="31" t="s">
        <v>87</v>
      </c>
      <c r="C1" s="31" t="s">
        <v>54</v>
      </c>
      <c r="D1" s="31" t="s">
        <v>35</v>
      </c>
      <c r="E1" s="32" t="s">
        <v>85</v>
      </c>
      <c r="F1" s="32" t="s">
        <v>86</v>
      </c>
      <c r="G1" s="32"/>
      <c r="H1" s="32" t="s">
        <v>44</v>
      </c>
      <c r="I1" s="32" t="s">
        <v>45</v>
      </c>
      <c r="J1" s="32" t="s">
        <v>46</v>
      </c>
      <c r="K1" s="32" t="s">
        <v>47</v>
      </c>
    </row>
    <row r="2" spans="1:21" x14ac:dyDescent="0.15">
      <c r="A2" s="9">
        <v>42186</v>
      </c>
      <c r="B2" s="8">
        <v>1585.7</v>
      </c>
      <c r="C2" s="11">
        <f>B2</f>
        <v>1585.7</v>
      </c>
      <c r="D2" s="11">
        <f>B3-B2</f>
        <v>0.59999999999990905</v>
      </c>
      <c r="E2" s="11"/>
      <c r="F2" s="11"/>
      <c r="G2" s="11"/>
      <c r="H2" s="12"/>
      <c r="I2" s="12"/>
      <c r="J2" s="12"/>
      <c r="K2" s="12"/>
      <c r="N2" s="1" t="s">
        <v>43</v>
      </c>
      <c r="O2" s="14">
        <v>0.5</v>
      </c>
    </row>
    <row r="3" spans="1:21" x14ac:dyDescent="0.15">
      <c r="A3" s="9">
        <v>42217</v>
      </c>
      <c r="B3" s="8">
        <v>1586.3</v>
      </c>
      <c r="C3" s="11">
        <f>$O$2*B3+(1-$O$2)*(C2+D2)</f>
        <v>1586.3</v>
      </c>
      <c r="D3" s="11">
        <f>$O$3*(C3-C2)+(1-$O$3)*D2</f>
        <v>0.59999999999990905</v>
      </c>
      <c r="E3" s="11">
        <f>C2+D2</f>
        <v>1586.3</v>
      </c>
      <c r="F3" s="11"/>
      <c r="G3" s="11"/>
      <c r="H3" s="12">
        <f t="shared" ref="H3:H65" si="0">B3-E3</f>
        <v>0</v>
      </c>
      <c r="I3" s="12">
        <f t="shared" ref="I3:I66" si="1">ABS(H3)</f>
        <v>0</v>
      </c>
      <c r="J3" s="12">
        <f>H3*H3</f>
        <v>0</v>
      </c>
      <c r="K3" s="12">
        <f t="shared" ref="K3:K65" si="2">(I3/B3)*100</f>
        <v>0</v>
      </c>
      <c r="N3" s="1" t="s">
        <v>52</v>
      </c>
      <c r="O3" s="14">
        <v>0.5</v>
      </c>
    </row>
    <row r="4" spans="1:21" x14ac:dyDescent="0.15">
      <c r="A4" s="9">
        <v>42248</v>
      </c>
      <c r="B4" s="8">
        <v>1541.9</v>
      </c>
      <c r="C4" s="11">
        <f t="shared" ref="C4:C67" si="3">$O$2*B4+(1-$O$2)*(C3+D3)</f>
        <v>1564.4</v>
      </c>
      <c r="D4" s="11">
        <f t="shared" ref="D4:D67" si="4">$O$3*(C4-C3)+(1-$O$3)*D3</f>
        <v>-10.649999999999977</v>
      </c>
      <c r="E4" s="11">
        <f t="shared" ref="E4:E67" si="5">C3+D3</f>
        <v>1586.8999999999999</v>
      </c>
      <c r="F4" s="11"/>
      <c r="G4" s="11"/>
      <c r="H4" s="12">
        <f t="shared" si="0"/>
        <v>-44.999999999999773</v>
      </c>
      <c r="I4" s="12">
        <f t="shared" si="1"/>
        <v>44.999999999999773</v>
      </c>
      <c r="J4" s="12">
        <f t="shared" ref="J4:J67" si="6">H4*H4</f>
        <v>2024.9999999999795</v>
      </c>
      <c r="K4" s="12">
        <f t="shared" si="2"/>
        <v>2.9184772034502737</v>
      </c>
    </row>
    <row r="5" spans="1:21" x14ac:dyDescent="0.15">
      <c r="A5" s="9">
        <v>42278</v>
      </c>
      <c r="B5" s="8">
        <v>1591.9</v>
      </c>
      <c r="C5" s="11">
        <f t="shared" si="3"/>
        <v>1572.825</v>
      </c>
      <c r="D5" s="11">
        <f t="shared" si="4"/>
        <v>-1.1125000000000114</v>
      </c>
      <c r="E5" s="11">
        <f t="shared" si="5"/>
        <v>1553.75</v>
      </c>
      <c r="F5" s="11"/>
      <c r="G5" s="11"/>
      <c r="H5" s="12">
        <f t="shared" si="0"/>
        <v>38.150000000000091</v>
      </c>
      <c r="I5" s="12">
        <f t="shared" si="1"/>
        <v>38.150000000000091</v>
      </c>
      <c r="J5" s="12">
        <f t="shared" si="6"/>
        <v>1455.4225000000069</v>
      </c>
      <c r="K5" s="12">
        <f t="shared" si="2"/>
        <v>2.3965073182988936</v>
      </c>
    </row>
    <row r="6" spans="1:21" x14ac:dyDescent="0.15">
      <c r="A6" s="9">
        <v>42309</v>
      </c>
      <c r="B6" s="8">
        <v>1590</v>
      </c>
      <c r="C6" s="11">
        <f t="shared" si="3"/>
        <v>1580.85625</v>
      </c>
      <c r="D6" s="11">
        <f t="shared" si="4"/>
        <v>3.4593749999999943</v>
      </c>
      <c r="E6" s="11">
        <f t="shared" si="5"/>
        <v>1571.7125000000001</v>
      </c>
      <c r="F6" s="11"/>
      <c r="G6" s="11"/>
      <c r="H6" s="12">
        <f t="shared" si="0"/>
        <v>18.287499999999909</v>
      </c>
      <c r="I6" s="12">
        <f t="shared" si="1"/>
        <v>18.287499999999909</v>
      </c>
      <c r="J6" s="12">
        <f t="shared" si="6"/>
        <v>334.43265624999668</v>
      </c>
      <c r="K6" s="12">
        <f t="shared" si="2"/>
        <v>1.1501572327043967</v>
      </c>
    </row>
    <row r="7" spans="1:21" x14ac:dyDescent="0.15">
      <c r="A7" s="9">
        <v>42339</v>
      </c>
      <c r="B7" s="8">
        <v>1592.5</v>
      </c>
      <c r="C7" s="11">
        <f t="shared" si="3"/>
        <v>1588.4078125000001</v>
      </c>
      <c r="D7" s="11">
        <f t="shared" si="4"/>
        <v>5.5054687500000199</v>
      </c>
      <c r="E7" s="11">
        <f t="shared" si="5"/>
        <v>1584.315625</v>
      </c>
      <c r="F7" s="11"/>
      <c r="G7" s="11"/>
      <c r="H7" s="12">
        <f t="shared" si="0"/>
        <v>8.1843750000000455</v>
      </c>
      <c r="I7" s="12">
        <f t="shared" si="1"/>
        <v>8.1843750000000455</v>
      </c>
      <c r="J7" s="12">
        <f t="shared" si="6"/>
        <v>66.98399414062574</v>
      </c>
      <c r="K7" s="12">
        <f t="shared" si="2"/>
        <v>0.51393249607535607</v>
      </c>
    </row>
    <row r="8" spans="1:21" x14ac:dyDescent="0.15">
      <c r="A8" s="9">
        <v>42370</v>
      </c>
      <c r="B8" s="8">
        <v>1610.3</v>
      </c>
      <c r="C8" s="11">
        <f t="shared" si="3"/>
        <v>1602.1066406250002</v>
      </c>
      <c r="D8" s="11">
        <f t="shared" si="4"/>
        <v>9.6021484375000554</v>
      </c>
      <c r="E8" s="11">
        <f t="shared" si="5"/>
        <v>1593.9132812500002</v>
      </c>
      <c r="F8" s="11"/>
      <c r="G8" s="11"/>
      <c r="H8" s="12">
        <f t="shared" si="0"/>
        <v>16.386718749999773</v>
      </c>
      <c r="I8" s="12">
        <f t="shared" si="1"/>
        <v>16.386718749999773</v>
      </c>
      <c r="J8" s="12">
        <f t="shared" si="6"/>
        <v>268.52455139159412</v>
      </c>
      <c r="K8" s="12">
        <f t="shared" si="2"/>
        <v>1.0176189995652845</v>
      </c>
      <c r="R8" s="1" t="s">
        <v>78</v>
      </c>
      <c r="T8" s="1" t="s">
        <v>43</v>
      </c>
      <c r="U8" s="25">
        <v>0.05</v>
      </c>
    </row>
    <row r="9" spans="1:21" x14ac:dyDescent="0.15">
      <c r="A9" s="9">
        <v>42401</v>
      </c>
      <c r="B9" s="8">
        <v>1591.6</v>
      </c>
      <c r="C9" s="11">
        <f t="shared" si="3"/>
        <v>1601.6543945312501</v>
      </c>
      <c r="D9" s="11">
        <f t="shared" si="4"/>
        <v>4.5749511718749822</v>
      </c>
      <c r="E9" s="11">
        <f t="shared" si="5"/>
        <v>1611.7087890625003</v>
      </c>
      <c r="F9" s="11"/>
      <c r="G9" s="11"/>
      <c r="H9" s="12">
        <f t="shared" si="0"/>
        <v>-20.108789062500364</v>
      </c>
      <c r="I9" s="12">
        <f t="shared" si="1"/>
        <v>20.108789062500364</v>
      </c>
      <c r="J9" s="12">
        <f t="shared" si="6"/>
        <v>404.36339756013427</v>
      </c>
      <c r="K9" s="12">
        <f t="shared" si="2"/>
        <v>1.2634323361711715</v>
      </c>
    </row>
    <row r="10" spans="1:21" x14ac:dyDescent="0.15">
      <c r="A10" s="9">
        <v>42430</v>
      </c>
      <c r="B10" s="8">
        <v>1584.6</v>
      </c>
      <c r="C10" s="11">
        <f t="shared" si="3"/>
        <v>1595.4146728515625</v>
      </c>
      <c r="D10" s="11">
        <f t="shared" si="4"/>
        <v>-0.83238525390630436</v>
      </c>
      <c r="E10" s="11">
        <f t="shared" si="5"/>
        <v>1606.2293457031251</v>
      </c>
      <c r="F10" s="11"/>
      <c r="G10" s="11"/>
      <c r="H10" s="12">
        <f t="shared" si="0"/>
        <v>-21.629345703125182</v>
      </c>
      <c r="I10" s="12">
        <f t="shared" si="1"/>
        <v>21.629345703125182</v>
      </c>
      <c r="J10" s="12">
        <f t="shared" si="6"/>
        <v>467.82859554529978</v>
      </c>
      <c r="K10" s="12">
        <f t="shared" si="2"/>
        <v>1.3649719615754881</v>
      </c>
      <c r="R10" s="26" t="s">
        <v>80</v>
      </c>
      <c r="S10" s="26" t="s">
        <v>79</v>
      </c>
      <c r="T10" s="26" t="s">
        <v>81</v>
      </c>
      <c r="U10" s="26" t="s">
        <v>82</v>
      </c>
    </row>
    <row r="11" spans="1:21" x14ac:dyDescent="0.15">
      <c r="A11" s="9">
        <v>42461</v>
      </c>
      <c r="B11" s="8">
        <v>1580.8</v>
      </c>
      <c r="C11" s="11">
        <f t="shared" si="3"/>
        <v>1587.6911437988281</v>
      </c>
      <c r="D11" s="11">
        <f t="shared" si="4"/>
        <v>-4.2779571533203624</v>
      </c>
      <c r="E11" s="11">
        <f t="shared" si="5"/>
        <v>1594.5822875976562</v>
      </c>
      <c r="F11" s="11"/>
      <c r="G11" s="11"/>
      <c r="H11" s="12">
        <f t="shared" si="0"/>
        <v>-13.78228759765625</v>
      </c>
      <c r="I11" s="12">
        <f t="shared" si="1"/>
        <v>13.78228759765625</v>
      </c>
      <c r="J11" s="12">
        <f t="shared" si="6"/>
        <v>189.95145142450929</v>
      </c>
      <c r="K11" s="12">
        <f t="shared" si="2"/>
        <v>0.87185523770598761</v>
      </c>
    </row>
    <row r="12" spans="1:21" x14ac:dyDescent="0.15">
      <c r="A12" s="9">
        <v>42491</v>
      </c>
      <c r="B12" s="8">
        <v>1567.4</v>
      </c>
      <c r="C12" s="11">
        <f t="shared" si="3"/>
        <v>1575.4065933227539</v>
      </c>
      <c r="D12" s="11">
        <f t="shared" si="4"/>
        <v>-8.2812538146972674</v>
      </c>
      <c r="E12" s="11">
        <f t="shared" si="5"/>
        <v>1583.4131866455077</v>
      </c>
      <c r="F12" s="11"/>
      <c r="G12" s="11"/>
      <c r="H12" s="12">
        <f t="shared" si="0"/>
        <v>-16.013186645507631</v>
      </c>
      <c r="I12" s="12">
        <f t="shared" si="1"/>
        <v>16.013186645507631</v>
      </c>
      <c r="J12" s="12">
        <f t="shared" si="6"/>
        <v>256.4221465438639</v>
      </c>
      <c r="K12" s="12">
        <f t="shared" si="2"/>
        <v>1.0216400820152884</v>
      </c>
      <c r="R12" s="1">
        <f>R11+1</f>
        <v>1</v>
      </c>
      <c r="S12" s="1">
        <f>[1]!ACF($H$3:$H$97,R12)</f>
        <v>0.2234114107529826</v>
      </c>
      <c r="T12" s="1">
        <f>-U12</f>
        <v>-0.20108806190046569</v>
      </c>
      <c r="U12" s="1">
        <f>_xlfn.NORM.S.INV(1-$U$8/2)/SQRT(COUNT($H$3:$H$97))</f>
        <v>0.20108806190046569</v>
      </c>
    </row>
    <row r="13" spans="1:21" x14ac:dyDescent="0.15">
      <c r="A13" s="9">
        <v>42522</v>
      </c>
      <c r="B13" s="8">
        <v>1582.1</v>
      </c>
      <c r="C13" s="11">
        <f t="shared" si="3"/>
        <v>1574.6126697540283</v>
      </c>
      <c r="D13" s="11">
        <f t="shared" si="4"/>
        <v>-4.5375886917114494</v>
      </c>
      <c r="E13" s="11">
        <f t="shared" si="5"/>
        <v>1567.1253395080566</v>
      </c>
      <c r="F13" s="11"/>
      <c r="G13" s="11"/>
      <c r="H13" s="12">
        <f t="shared" si="0"/>
        <v>14.974660491943268</v>
      </c>
      <c r="I13" s="12">
        <f t="shared" si="1"/>
        <v>14.974660491943268</v>
      </c>
      <c r="J13" s="12">
        <f t="shared" si="6"/>
        <v>224.2404568489666</v>
      </c>
      <c r="K13" s="12">
        <f t="shared" si="2"/>
        <v>0.94650530888965734</v>
      </c>
      <c r="R13" s="1">
        <f t="shared" ref="R13:R35" si="7">R12+1</f>
        <v>2</v>
      </c>
      <c r="S13" s="1">
        <f>[1]!ACF($H$3:$H$97,R13)</f>
        <v>-0.21496127381371585</v>
      </c>
      <c r="T13" s="1">
        <f>-U13</f>
        <v>-0.21088619192809954</v>
      </c>
      <c r="U13" s="1">
        <f>_xlfn.NORM.S.INV(1-$U$8/2)*SQRT((1+2*SUMSQ(S$12:S12))/COUNT($H$3:$H$97))</f>
        <v>0.21088619192809954</v>
      </c>
    </row>
    <row r="14" spans="1:21" x14ac:dyDescent="0.15">
      <c r="A14" s="9">
        <v>42552</v>
      </c>
      <c r="B14" s="8">
        <v>1537.2</v>
      </c>
      <c r="C14" s="11">
        <f t="shared" si="3"/>
        <v>1553.6375405311583</v>
      </c>
      <c r="D14" s="11">
        <f t="shared" si="4"/>
        <v>-12.756358957290729</v>
      </c>
      <c r="E14" s="11">
        <f t="shared" si="5"/>
        <v>1570.0750810623167</v>
      </c>
      <c r="F14" s="11"/>
      <c r="G14" s="11"/>
      <c r="H14" s="12">
        <f t="shared" si="0"/>
        <v>-32.875081062316667</v>
      </c>
      <c r="I14" s="12">
        <f t="shared" si="1"/>
        <v>32.875081062316667</v>
      </c>
      <c r="J14" s="12">
        <f t="shared" si="6"/>
        <v>1080.7709548538919</v>
      </c>
      <c r="K14" s="12">
        <f t="shared" si="2"/>
        <v>2.1386339488886721</v>
      </c>
      <c r="R14" s="1">
        <f t="shared" si="7"/>
        <v>3</v>
      </c>
      <c r="S14" s="1">
        <f>[1]!ACF($H$3:$H$97,R14)</f>
        <v>-0.32309757816778806</v>
      </c>
      <c r="T14" s="1">
        <f t="shared" ref="T14:T35" si="8">-U14</f>
        <v>-0.21956772379085701</v>
      </c>
      <c r="U14" s="1">
        <f>_xlfn.NORM.S.INV(1-$U$8/2)*SQRT((1+2*SUMSQ(S$12:S13))/COUNT($H$3:$H$97))</f>
        <v>0.21956772379085701</v>
      </c>
    </row>
    <row r="15" spans="1:21" x14ac:dyDescent="0.15">
      <c r="A15" s="9">
        <v>42583</v>
      </c>
      <c r="B15" s="8">
        <v>1541.6</v>
      </c>
      <c r="C15" s="11">
        <f t="shared" si="3"/>
        <v>1541.2405907869338</v>
      </c>
      <c r="D15" s="11">
        <f t="shared" si="4"/>
        <v>-12.576654350757593</v>
      </c>
      <c r="E15" s="11">
        <f t="shared" si="5"/>
        <v>1540.8811815738675</v>
      </c>
      <c r="F15" s="11"/>
      <c r="G15" s="11"/>
      <c r="H15" s="12">
        <f t="shared" si="0"/>
        <v>0.71881842613242952</v>
      </c>
      <c r="I15" s="12">
        <f t="shared" si="1"/>
        <v>0.71881842613242952</v>
      </c>
      <c r="J15" s="12">
        <f t="shared" si="6"/>
        <v>0.51669992974750301</v>
      </c>
      <c r="K15" s="12">
        <f t="shared" si="2"/>
        <v>4.6628076422705597E-2</v>
      </c>
      <c r="R15" s="1">
        <f t="shared" si="7"/>
        <v>4</v>
      </c>
      <c r="S15" s="1">
        <f>[1]!ACF($H$3:$H$97,R15)</f>
        <v>-0.11260512007448654</v>
      </c>
      <c r="T15" s="1">
        <f t="shared" si="8"/>
        <v>-0.23801778108511709</v>
      </c>
      <c r="U15" s="1">
        <f>_xlfn.NORM.S.INV(1-$U$8/2)*SQRT((1+2*SUMSQ(S$12:S14))/COUNT($H$3:$H$97))</f>
        <v>0.23801778108511709</v>
      </c>
    </row>
    <row r="16" spans="1:21" x14ac:dyDescent="0.15">
      <c r="A16" s="9">
        <v>42614</v>
      </c>
      <c r="B16" s="8">
        <v>1537.8</v>
      </c>
      <c r="C16" s="11">
        <f t="shared" si="3"/>
        <v>1533.2319682180882</v>
      </c>
      <c r="D16" s="11">
        <f t="shared" si="4"/>
        <v>-10.29263845980158</v>
      </c>
      <c r="E16" s="11">
        <f t="shared" si="5"/>
        <v>1528.6639364361763</v>
      </c>
      <c r="F16" s="11"/>
      <c r="G16" s="11"/>
      <c r="H16" s="12">
        <f t="shared" si="0"/>
        <v>9.1360635638236545</v>
      </c>
      <c r="I16" s="12">
        <f t="shared" si="1"/>
        <v>9.1360635638236545</v>
      </c>
      <c r="J16" s="12">
        <f t="shared" si="6"/>
        <v>83.467657442226169</v>
      </c>
      <c r="K16" s="12">
        <f t="shared" si="2"/>
        <v>0.59409959447416139</v>
      </c>
      <c r="R16" s="1">
        <f t="shared" si="7"/>
        <v>5</v>
      </c>
      <c r="S16" s="1">
        <f>[1]!ACF($H$3:$H$97,R16)</f>
        <v>2.113319834224104E-2</v>
      </c>
      <c r="T16" s="1">
        <f t="shared" si="8"/>
        <v>-0.24016228764160164</v>
      </c>
      <c r="U16" s="1">
        <f>_xlfn.NORM.S.INV(1-$U$8/2)*SQRT((1+2*SUMSQ(S$12:S15))/COUNT($H$3:$H$97))</f>
        <v>0.24016228764160164</v>
      </c>
    </row>
    <row r="17" spans="1:21" x14ac:dyDescent="0.15">
      <c r="A17" s="9">
        <v>42644</v>
      </c>
      <c r="B17" s="8">
        <v>1536.8</v>
      </c>
      <c r="C17" s="11">
        <f t="shared" si="3"/>
        <v>1529.8696648791433</v>
      </c>
      <c r="D17" s="11">
        <f t="shared" si="4"/>
        <v>-6.827470899373246</v>
      </c>
      <c r="E17" s="11">
        <f t="shared" si="5"/>
        <v>1522.9393297582867</v>
      </c>
      <c r="F17" s="11"/>
      <c r="G17" s="11"/>
      <c r="H17" s="12">
        <f t="shared" si="0"/>
        <v>13.860670241713251</v>
      </c>
      <c r="I17" s="12">
        <f t="shared" si="1"/>
        <v>13.860670241713251</v>
      </c>
      <c r="J17" s="12">
        <f t="shared" si="6"/>
        <v>192.11817954951528</v>
      </c>
      <c r="K17" s="12">
        <f t="shared" si="2"/>
        <v>0.90191763675906111</v>
      </c>
      <c r="R17" s="1">
        <f t="shared" si="7"/>
        <v>6</v>
      </c>
      <c r="S17" s="1">
        <f>[1]!ACF($H$3:$H$97,R17)</f>
        <v>5.9323144202628644E-2</v>
      </c>
      <c r="T17" s="1">
        <f t="shared" si="8"/>
        <v>-0.2402374724762027</v>
      </c>
      <c r="U17" s="1">
        <f>_xlfn.NORM.S.INV(1-$U$8/2)*SQRT((1+2*SUMSQ(S$12:S16))/COUNT($H$3:$H$97))</f>
        <v>0.2402374724762027</v>
      </c>
    </row>
    <row r="18" spans="1:21" x14ac:dyDescent="0.15">
      <c r="A18" s="9">
        <v>42675</v>
      </c>
      <c r="B18" s="8">
        <v>1524.3</v>
      </c>
      <c r="C18" s="11">
        <f t="shared" si="3"/>
        <v>1523.671096989885</v>
      </c>
      <c r="D18" s="11">
        <f t="shared" si="4"/>
        <v>-6.5130193943158012</v>
      </c>
      <c r="E18" s="11">
        <f t="shared" si="5"/>
        <v>1523.04219397977</v>
      </c>
      <c r="F18" s="11"/>
      <c r="G18" s="11"/>
      <c r="H18" s="12">
        <f t="shared" si="0"/>
        <v>1.2578060202299639</v>
      </c>
      <c r="I18" s="12">
        <f t="shared" si="1"/>
        <v>1.2578060202299639</v>
      </c>
      <c r="J18" s="12">
        <f t="shared" si="6"/>
        <v>1.5820759845267405</v>
      </c>
      <c r="K18" s="12">
        <f t="shared" si="2"/>
        <v>8.2516959931113562E-2</v>
      </c>
      <c r="R18" s="1">
        <f t="shared" si="7"/>
        <v>7</v>
      </c>
      <c r="S18" s="1">
        <f>[1]!ACF($H$3:$H$97,R18)</f>
        <v>-0.15189662372431692</v>
      </c>
      <c r="T18" s="1">
        <f t="shared" si="8"/>
        <v>-0.24082909638641264</v>
      </c>
      <c r="U18" s="1">
        <f>_xlfn.NORM.S.INV(1-$U$8/2)*SQRT((1+2*SUMSQ(S$12:S17))/COUNT($H$3:$H$97))</f>
        <v>0.24082909638641264</v>
      </c>
    </row>
    <row r="19" spans="1:21" x14ac:dyDescent="0.15">
      <c r="A19" s="9">
        <v>42705</v>
      </c>
      <c r="B19" s="8">
        <v>1550.1</v>
      </c>
      <c r="C19" s="11">
        <f t="shared" si="3"/>
        <v>1533.6290387977847</v>
      </c>
      <c r="D19" s="11">
        <f t="shared" si="4"/>
        <v>1.7224612067919569</v>
      </c>
      <c r="E19" s="11">
        <f t="shared" si="5"/>
        <v>1517.1580775955692</v>
      </c>
      <c r="F19" s="11"/>
      <c r="G19" s="11"/>
      <c r="H19" s="12">
        <f t="shared" si="0"/>
        <v>32.94192240443067</v>
      </c>
      <c r="I19" s="12">
        <f t="shared" si="1"/>
        <v>32.94192240443067</v>
      </c>
      <c r="J19" s="12">
        <f t="shared" si="6"/>
        <v>1085.1702516995313</v>
      </c>
      <c r="K19" s="12">
        <f t="shared" si="2"/>
        <v>2.125148210078748</v>
      </c>
      <c r="R19" s="1">
        <f t="shared" si="7"/>
        <v>8</v>
      </c>
      <c r="S19" s="1">
        <f>[1]!ACF($H$3:$H$97,R19)</f>
        <v>-0.11418346485184555</v>
      </c>
      <c r="T19" s="1">
        <f t="shared" si="8"/>
        <v>-0.24467243114094939</v>
      </c>
      <c r="U19" s="1">
        <f>_xlfn.NORM.S.INV(1-$U$8/2)*SQRT((1+2*SUMSQ(S$12:S18))/COUNT($H$3:$H$97))</f>
        <v>0.24467243114094939</v>
      </c>
    </row>
    <row r="20" spans="1:21" x14ac:dyDescent="0.15">
      <c r="A20" s="9">
        <v>42736</v>
      </c>
      <c r="B20" s="8">
        <v>1554.7</v>
      </c>
      <c r="C20" s="11">
        <f t="shared" si="3"/>
        <v>1545.0257500022883</v>
      </c>
      <c r="D20" s="11">
        <f t="shared" si="4"/>
        <v>6.5595862056477872</v>
      </c>
      <c r="E20" s="11">
        <f t="shared" si="5"/>
        <v>1535.3515000045766</v>
      </c>
      <c r="F20" s="11"/>
      <c r="G20" s="11"/>
      <c r="H20" s="12">
        <f t="shared" si="0"/>
        <v>19.348499995423481</v>
      </c>
      <c r="I20" s="12">
        <f t="shared" si="1"/>
        <v>19.348499995423481</v>
      </c>
      <c r="J20" s="12">
        <f t="shared" si="6"/>
        <v>374.36445207290245</v>
      </c>
      <c r="K20" s="12">
        <f t="shared" si="2"/>
        <v>1.2445166267076271</v>
      </c>
      <c r="R20" s="1">
        <f t="shared" si="7"/>
        <v>9</v>
      </c>
      <c r="S20" s="1">
        <f>[1]!ACF($H$3:$H$97,R20)</f>
        <v>-0.11846607387447057</v>
      </c>
      <c r="T20" s="1">
        <f t="shared" si="8"/>
        <v>-0.24681776136397376</v>
      </c>
      <c r="U20" s="1">
        <f>_xlfn.NORM.S.INV(1-$U$8/2)*SQRT((1+2*SUMSQ(S$12:S19))/COUNT($H$3:$H$97))</f>
        <v>0.24681776136397376</v>
      </c>
    </row>
    <row r="21" spans="1:21" x14ac:dyDescent="0.15">
      <c r="A21" s="9">
        <v>42767</v>
      </c>
      <c r="B21" s="8">
        <v>1542.9</v>
      </c>
      <c r="C21" s="11">
        <f t="shared" si="3"/>
        <v>1547.2426681039681</v>
      </c>
      <c r="D21" s="11">
        <f t="shared" si="4"/>
        <v>4.3882521536637764</v>
      </c>
      <c r="E21" s="11">
        <f t="shared" si="5"/>
        <v>1551.5853362079361</v>
      </c>
      <c r="F21" s="11"/>
      <c r="G21" s="11"/>
      <c r="H21" s="12">
        <f t="shared" si="0"/>
        <v>-8.6853362079359613</v>
      </c>
      <c r="I21" s="12">
        <f t="shared" si="1"/>
        <v>8.6853362079359613</v>
      </c>
      <c r="J21" s="12">
        <f t="shared" si="6"/>
        <v>75.43506504488343</v>
      </c>
      <c r="K21" s="12">
        <f t="shared" si="2"/>
        <v>0.56292282117674253</v>
      </c>
      <c r="R21" s="1">
        <f t="shared" si="7"/>
        <v>10</v>
      </c>
      <c r="S21" s="1">
        <f>[1]!ACF($H$3:$H$97,R21)</f>
        <v>1.8054869114556601E-2</v>
      </c>
      <c r="T21" s="1">
        <f t="shared" si="8"/>
        <v>-0.24910638987991715</v>
      </c>
      <c r="U21" s="1">
        <f>_xlfn.NORM.S.INV(1-$U$8/2)*SQRT((1+2*SUMSQ(S$12:S20))/COUNT($H$3:$H$97))</f>
        <v>0.24910638987991715</v>
      </c>
    </row>
    <row r="22" spans="1:21" x14ac:dyDescent="0.15">
      <c r="A22" s="9">
        <v>42795</v>
      </c>
      <c r="B22" s="8">
        <v>1545.1</v>
      </c>
      <c r="C22" s="11">
        <f t="shared" si="3"/>
        <v>1548.3654601288158</v>
      </c>
      <c r="D22" s="11">
        <f t="shared" si="4"/>
        <v>2.7555220892557584</v>
      </c>
      <c r="E22" s="11">
        <f t="shared" si="5"/>
        <v>1551.6309202576319</v>
      </c>
      <c r="F22" s="11"/>
      <c r="G22" s="11"/>
      <c r="H22" s="12">
        <f t="shared" si="0"/>
        <v>-6.5309202576320331</v>
      </c>
      <c r="I22" s="12">
        <f t="shared" si="1"/>
        <v>6.5309202576320331</v>
      </c>
      <c r="J22" s="12">
        <f t="shared" si="6"/>
        <v>42.65291941154846</v>
      </c>
      <c r="K22" s="12">
        <f t="shared" si="2"/>
        <v>0.42268592697120144</v>
      </c>
      <c r="R22" s="1">
        <f t="shared" si="7"/>
        <v>11</v>
      </c>
      <c r="S22" s="1">
        <f>[1]!ACF($H$3:$H$97,R22)</f>
        <v>0.13445941511725756</v>
      </c>
      <c r="T22" s="1">
        <f t="shared" si="8"/>
        <v>-0.24915929896834299</v>
      </c>
      <c r="U22" s="1">
        <f>_xlfn.NORM.S.INV(1-$U$8/2)*SQRT((1+2*SUMSQ(S$12:S21))/COUNT($H$3:$H$97))</f>
        <v>0.24915929896834299</v>
      </c>
    </row>
    <row r="23" spans="1:21" x14ac:dyDescent="0.15">
      <c r="A23" s="9">
        <v>42826</v>
      </c>
      <c r="B23" s="8">
        <v>1604.2</v>
      </c>
      <c r="C23" s="11">
        <f t="shared" si="3"/>
        <v>1577.6604911090358</v>
      </c>
      <c r="D23" s="11">
        <f t="shared" si="4"/>
        <v>16.025276534737859</v>
      </c>
      <c r="E23" s="11">
        <f t="shared" si="5"/>
        <v>1551.1209822180715</v>
      </c>
      <c r="F23" s="11"/>
      <c r="G23" s="11"/>
      <c r="H23" s="12">
        <f t="shared" si="0"/>
        <v>53.079017781928542</v>
      </c>
      <c r="I23" s="12">
        <f t="shared" si="1"/>
        <v>53.079017781928542</v>
      </c>
      <c r="J23" s="12">
        <f t="shared" si="6"/>
        <v>2817.3821286942862</v>
      </c>
      <c r="K23" s="12">
        <f t="shared" si="2"/>
        <v>3.3087531343927528</v>
      </c>
      <c r="R23" s="1">
        <f t="shared" si="7"/>
        <v>12</v>
      </c>
      <c r="S23" s="1">
        <f>[1]!ACF($H$3:$H$97,R23)</f>
        <v>0.18191689348889703</v>
      </c>
      <c r="T23" s="1">
        <f t="shared" si="8"/>
        <v>-0.25207634352086611</v>
      </c>
      <c r="U23" s="1">
        <f>_xlfn.NORM.S.INV(1-$U$8/2)*SQRT((1+2*SUMSQ(S$12:S22))/COUNT($H$3:$H$97))</f>
        <v>0.25207634352086611</v>
      </c>
    </row>
    <row r="24" spans="1:21" x14ac:dyDescent="0.15">
      <c r="A24" s="9">
        <v>42856</v>
      </c>
      <c r="B24" s="8">
        <v>1550.6</v>
      </c>
      <c r="C24" s="11">
        <f t="shared" si="3"/>
        <v>1572.1428838218867</v>
      </c>
      <c r="D24" s="11">
        <f t="shared" si="4"/>
        <v>5.2538346237943916</v>
      </c>
      <c r="E24" s="11">
        <f t="shared" si="5"/>
        <v>1593.6857676437737</v>
      </c>
      <c r="F24" s="11"/>
      <c r="G24" s="11"/>
      <c r="H24" s="12">
        <f t="shared" si="0"/>
        <v>-43.085767643773806</v>
      </c>
      <c r="I24" s="12">
        <f t="shared" si="1"/>
        <v>43.085767643773806</v>
      </c>
      <c r="J24" s="12">
        <f t="shared" si="6"/>
        <v>1856.3833734532659</v>
      </c>
      <c r="K24" s="12">
        <f t="shared" si="2"/>
        <v>2.7786513377901336</v>
      </c>
      <c r="R24" s="1">
        <f t="shared" si="7"/>
        <v>13</v>
      </c>
      <c r="S24" s="1">
        <f>[1]!ACF($H$3:$H$97,R24)</f>
        <v>-0.10399558598399311</v>
      </c>
      <c r="T24" s="1">
        <f t="shared" si="8"/>
        <v>-0.25733027077264764</v>
      </c>
      <c r="U24" s="1">
        <f>_xlfn.NORM.S.INV(1-$U$8/2)*SQRT((1+2*SUMSQ(S$12:S23))/COUNT($H$3:$H$97))</f>
        <v>0.25733027077264764</v>
      </c>
    </row>
    <row r="25" spans="1:21" x14ac:dyDescent="0.15">
      <c r="A25" s="9">
        <v>42887</v>
      </c>
      <c r="B25" s="8">
        <v>1548.7</v>
      </c>
      <c r="C25" s="11">
        <f t="shared" si="3"/>
        <v>1563.0483592228406</v>
      </c>
      <c r="D25" s="11">
        <f t="shared" si="4"/>
        <v>-1.9203449876258309</v>
      </c>
      <c r="E25" s="11">
        <f t="shared" si="5"/>
        <v>1577.396718445681</v>
      </c>
      <c r="F25" s="11"/>
      <c r="G25" s="11"/>
      <c r="H25" s="12">
        <f t="shared" si="0"/>
        <v>-28.696718445680972</v>
      </c>
      <c r="I25" s="12">
        <f t="shared" si="1"/>
        <v>28.696718445680972</v>
      </c>
      <c r="J25" s="12">
        <f t="shared" si="6"/>
        <v>823.50164955068658</v>
      </c>
      <c r="K25" s="12">
        <f t="shared" si="2"/>
        <v>1.852955281570412</v>
      </c>
      <c r="R25" s="1">
        <f t="shared" si="7"/>
        <v>14</v>
      </c>
      <c r="S25" s="1">
        <f>[1]!ACF($H$3:$H$97,R25)</f>
        <v>-0.19638110618209617</v>
      </c>
      <c r="T25" s="1">
        <f t="shared" si="8"/>
        <v>-0.25902415794400901</v>
      </c>
      <c r="U25" s="1">
        <f>_xlfn.NORM.S.INV(1-$U$8/2)*SQRT((1+2*SUMSQ(S$12:S24))/COUNT($H$3:$H$97))</f>
        <v>0.25902415794400901</v>
      </c>
    </row>
    <row r="26" spans="1:21" x14ac:dyDescent="0.15">
      <c r="A26" s="9">
        <v>42917</v>
      </c>
      <c r="B26" s="8">
        <v>1541.7</v>
      </c>
      <c r="C26" s="11">
        <f t="shared" si="3"/>
        <v>1551.4140071176075</v>
      </c>
      <c r="D26" s="11">
        <f t="shared" si="4"/>
        <v>-6.7773485464294758</v>
      </c>
      <c r="E26" s="11">
        <f t="shared" si="5"/>
        <v>1561.1280142352148</v>
      </c>
      <c r="F26" s="11"/>
      <c r="G26" s="11"/>
      <c r="H26" s="12">
        <f t="shared" si="0"/>
        <v>-19.428014235214732</v>
      </c>
      <c r="I26" s="12">
        <f t="shared" si="1"/>
        <v>19.428014235214732</v>
      </c>
      <c r="J26" s="12">
        <f t="shared" si="6"/>
        <v>377.4477371237063</v>
      </c>
      <c r="K26" s="12">
        <f t="shared" si="2"/>
        <v>1.2601682710783375</v>
      </c>
      <c r="R26" s="1">
        <f t="shared" si="7"/>
        <v>15</v>
      </c>
      <c r="S26" s="1">
        <f>[1]!ACF($H$3:$H$97,R26)</f>
        <v>-2.4356701496419032E-2</v>
      </c>
      <c r="T26" s="1">
        <f t="shared" si="8"/>
        <v>-0.2649762596469265</v>
      </c>
      <c r="U26" s="1">
        <f>_xlfn.NORM.S.INV(1-$U$8/2)*SQRT((1+2*SUMSQ(S$12:S25))/COUNT($H$3:$H$97))</f>
        <v>0.2649762596469265</v>
      </c>
    </row>
    <row r="27" spans="1:21" x14ac:dyDescent="0.15">
      <c r="A27" s="9">
        <v>42948</v>
      </c>
      <c r="B27" s="8">
        <v>1519.8</v>
      </c>
      <c r="C27" s="11">
        <f t="shared" si="3"/>
        <v>1532.2183292855889</v>
      </c>
      <c r="D27" s="11">
        <f t="shared" si="4"/>
        <v>-12.986513189224061</v>
      </c>
      <c r="E27" s="11">
        <f t="shared" si="5"/>
        <v>1544.636658571178</v>
      </c>
      <c r="F27" s="11"/>
      <c r="G27" s="11"/>
      <c r="H27" s="12">
        <f t="shared" si="0"/>
        <v>-24.836658571178077</v>
      </c>
      <c r="I27" s="12">
        <f t="shared" si="1"/>
        <v>24.836658571178077</v>
      </c>
      <c r="J27" s="12">
        <f t="shared" si="6"/>
        <v>616.85960898127348</v>
      </c>
      <c r="K27" s="12">
        <f t="shared" si="2"/>
        <v>1.6342057225409972</v>
      </c>
      <c r="R27" s="1">
        <f t="shared" si="7"/>
        <v>16</v>
      </c>
      <c r="S27" s="1">
        <f>[1]!ACF($H$3:$H$97,R27)</f>
        <v>0.18286382821522479</v>
      </c>
      <c r="T27" s="1">
        <f t="shared" si="8"/>
        <v>-0.26506677627910108</v>
      </c>
      <c r="U27" s="1">
        <f>_xlfn.NORM.S.INV(1-$U$8/2)*SQRT((1+2*SUMSQ(S$12:S26))/COUNT($H$3:$H$97))</f>
        <v>0.26506677627910108</v>
      </c>
    </row>
    <row r="28" spans="1:21" x14ac:dyDescent="0.15">
      <c r="A28" s="9">
        <v>42979</v>
      </c>
      <c r="B28" s="8">
        <v>1557.1</v>
      </c>
      <c r="C28" s="11">
        <f t="shared" si="3"/>
        <v>1538.1659080481822</v>
      </c>
      <c r="D28" s="11">
        <f t="shared" si="4"/>
        <v>-3.5194672133153473</v>
      </c>
      <c r="E28" s="11">
        <f t="shared" si="5"/>
        <v>1519.2318160963648</v>
      </c>
      <c r="F28" s="11"/>
      <c r="G28" s="11"/>
      <c r="H28" s="12">
        <f t="shared" si="0"/>
        <v>37.868183903635099</v>
      </c>
      <c r="I28" s="12">
        <f t="shared" si="1"/>
        <v>37.868183903635099</v>
      </c>
      <c r="J28" s="12">
        <f t="shared" si="6"/>
        <v>1433.9993521595284</v>
      </c>
      <c r="K28" s="12">
        <f t="shared" si="2"/>
        <v>2.4319686534991396</v>
      </c>
      <c r="R28" s="1">
        <f t="shared" si="7"/>
        <v>17</v>
      </c>
      <c r="S28" s="1">
        <f>[1]!ACF($H$3:$H$97,R28)</f>
        <v>0.28834011108734298</v>
      </c>
      <c r="T28" s="1">
        <f t="shared" si="8"/>
        <v>-0.27011981888474468</v>
      </c>
      <c r="U28" s="1">
        <f>_xlfn.NORM.S.INV(1-$U$8/2)*SQRT((1+2*SUMSQ(S$12:S27))/COUNT($H$3:$H$97))</f>
        <v>0.27011981888474468</v>
      </c>
    </row>
    <row r="29" spans="1:21" x14ac:dyDescent="0.15">
      <c r="A29" s="9">
        <v>43009</v>
      </c>
      <c r="B29" s="8">
        <v>1566.8</v>
      </c>
      <c r="C29" s="11">
        <f t="shared" si="3"/>
        <v>1550.7232204174334</v>
      </c>
      <c r="D29" s="11">
        <f t="shared" si="4"/>
        <v>4.5189225779678868</v>
      </c>
      <c r="E29" s="11">
        <f t="shared" si="5"/>
        <v>1534.646440834867</v>
      </c>
      <c r="F29" s="11"/>
      <c r="G29" s="11"/>
      <c r="H29" s="12">
        <f t="shared" si="0"/>
        <v>32.153559165132947</v>
      </c>
      <c r="I29" s="12">
        <f t="shared" si="1"/>
        <v>32.153559165132947</v>
      </c>
      <c r="J29" s="12">
        <f t="shared" si="6"/>
        <v>1033.851366985705</v>
      </c>
      <c r="K29" s="12">
        <f t="shared" si="2"/>
        <v>2.0521801866947249</v>
      </c>
      <c r="R29" s="1">
        <f t="shared" si="7"/>
        <v>18</v>
      </c>
      <c r="S29" s="1">
        <f>[1]!ACF($H$3:$H$97,R29)</f>
        <v>0.11479834373099748</v>
      </c>
      <c r="T29" s="1">
        <f t="shared" si="8"/>
        <v>-0.28229148795688336</v>
      </c>
      <c r="U29" s="1">
        <f>_xlfn.NORM.S.INV(1-$U$8/2)*SQRT((1+2*SUMSQ(S$12:S28))/COUNT($H$3:$H$97))</f>
        <v>0.28229148795688336</v>
      </c>
    </row>
    <row r="30" spans="1:21" x14ac:dyDescent="0.15">
      <c r="A30" s="9">
        <v>43040</v>
      </c>
      <c r="B30" s="8">
        <v>1536.8</v>
      </c>
      <c r="C30" s="11">
        <f t="shared" si="3"/>
        <v>1546.0210714977006</v>
      </c>
      <c r="D30" s="11">
        <f t="shared" si="4"/>
        <v>-9.1613170882424377E-2</v>
      </c>
      <c r="E30" s="11">
        <f t="shared" si="5"/>
        <v>1555.2421429954013</v>
      </c>
      <c r="F30" s="11"/>
      <c r="G30" s="11"/>
      <c r="H30" s="12">
        <f t="shared" si="0"/>
        <v>-18.442142995401355</v>
      </c>
      <c r="I30" s="12">
        <f t="shared" si="1"/>
        <v>18.442142995401355</v>
      </c>
      <c r="J30" s="12">
        <f t="shared" si="6"/>
        <v>340.11263826283124</v>
      </c>
      <c r="K30" s="12">
        <f t="shared" si="2"/>
        <v>1.2000353328605775</v>
      </c>
      <c r="R30" s="1">
        <f t="shared" si="7"/>
        <v>19</v>
      </c>
      <c r="S30" s="1">
        <f>[1]!ACF($H$3:$H$97,R30)</f>
        <v>-0.2599336568175265</v>
      </c>
      <c r="T30" s="1">
        <f t="shared" si="8"/>
        <v>-0.28417297463461599</v>
      </c>
      <c r="U30" s="1">
        <f>_xlfn.NORM.S.INV(1-$U$8/2)*SQRT((1+2*SUMSQ(S$12:S29))/COUNT($H$3:$H$97))</f>
        <v>0.28417297463461599</v>
      </c>
    </row>
    <row r="31" spans="1:21" x14ac:dyDescent="0.15">
      <c r="A31" s="9">
        <v>43070</v>
      </c>
      <c r="B31" s="8">
        <v>1553.1</v>
      </c>
      <c r="C31" s="11">
        <f t="shared" si="3"/>
        <v>1549.5147291634089</v>
      </c>
      <c r="D31" s="11">
        <f t="shared" si="4"/>
        <v>1.7010222474129226</v>
      </c>
      <c r="E31" s="11">
        <f t="shared" si="5"/>
        <v>1545.9294583268181</v>
      </c>
      <c r="F31" s="11"/>
      <c r="G31" s="11"/>
      <c r="H31" s="12">
        <f t="shared" si="0"/>
        <v>7.1705416731817877</v>
      </c>
      <c r="I31" s="12">
        <f t="shared" si="1"/>
        <v>7.1705416731817877</v>
      </c>
      <c r="J31" s="12">
        <f t="shared" si="6"/>
        <v>51.41666788683667</v>
      </c>
      <c r="K31" s="12">
        <f t="shared" si="2"/>
        <v>0.46169220740337313</v>
      </c>
      <c r="R31" s="1">
        <f t="shared" si="7"/>
        <v>20</v>
      </c>
      <c r="S31" s="1">
        <f>[1]!ACF($H$3:$H$97,R31)</f>
        <v>-0.13898189268680014</v>
      </c>
      <c r="T31" s="1">
        <f t="shared" si="8"/>
        <v>-0.29362985599114416</v>
      </c>
      <c r="U31" s="1">
        <f>_xlfn.NORM.S.INV(1-$U$8/2)*SQRT((1+2*SUMSQ(S$12:S30))/COUNT($H$3:$H$97))</f>
        <v>0.29362985599114416</v>
      </c>
    </row>
    <row r="32" spans="1:21" x14ac:dyDescent="0.15">
      <c r="A32" s="9">
        <v>43101</v>
      </c>
      <c r="B32" s="8">
        <v>1544.7</v>
      </c>
      <c r="C32" s="11">
        <f t="shared" si="3"/>
        <v>1547.957875705411</v>
      </c>
      <c r="D32" s="11">
        <f t="shared" si="4"/>
        <v>7.2084394707495614E-2</v>
      </c>
      <c r="E32" s="11">
        <f t="shared" si="5"/>
        <v>1551.2157514108219</v>
      </c>
      <c r="F32" s="11"/>
      <c r="G32" s="11"/>
      <c r="H32" s="12">
        <f t="shared" si="0"/>
        <v>-6.5157514108218493</v>
      </c>
      <c r="I32" s="12">
        <f t="shared" si="1"/>
        <v>6.5157514108218493</v>
      </c>
      <c r="J32" s="12">
        <f t="shared" si="6"/>
        <v>42.455016447626917</v>
      </c>
      <c r="K32" s="12">
        <f t="shared" si="2"/>
        <v>0.42181338841340382</v>
      </c>
      <c r="R32" s="1">
        <f t="shared" si="7"/>
        <v>21</v>
      </c>
      <c r="S32" s="1">
        <f>[1]!ACF($H$3:$H$97,R32)</f>
        <v>1.1675923870661792E-2</v>
      </c>
      <c r="T32" s="1">
        <f t="shared" si="8"/>
        <v>-0.29627795894777259</v>
      </c>
      <c r="U32" s="1">
        <f>_xlfn.NORM.S.INV(1-$U$8/2)*SQRT((1+2*SUMSQ(S$12:S31))/COUNT($H$3:$H$97))</f>
        <v>0.29627795894777259</v>
      </c>
    </row>
    <row r="33" spans="1:21" x14ac:dyDescent="0.15">
      <c r="A33" s="9">
        <v>43132</v>
      </c>
      <c r="B33" s="8">
        <v>1547.5</v>
      </c>
      <c r="C33" s="11">
        <f t="shared" si="3"/>
        <v>1547.7649800500592</v>
      </c>
      <c r="D33" s="11">
        <f t="shared" si="4"/>
        <v>-6.0405630322140413E-2</v>
      </c>
      <c r="E33" s="11">
        <f t="shared" si="5"/>
        <v>1548.0299601001184</v>
      </c>
      <c r="F33" s="11"/>
      <c r="G33" s="11"/>
      <c r="H33" s="12">
        <f t="shared" si="0"/>
        <v>-0.52996010011838734</v>
      </c>
      <c r="I33" s="12">
        <f t="shared" si="1"/>
        <v>0.52996010011838734</v>
      </c>
      <c r="J33" s="12">
        <f t="shared" si="6"/>
        <v>0.28085770771749113</v>
      </c>
      <c r="K33" s="12">
        <f t="shared" si="2"/>
        <v>3.4246210023805325E-2</v>
      </c>
      <c r="R33" s="1">
        <f t="shared" si="7"/>
        <v>22</v>
      </c>
      <c r="S33" s="1">
        <f>[1]!ACF($H$3:$H$97,R33)</f>
        <v>-7.497704064157196E-3</v>
      </c>
      <c r="T33" s="1">
        <f t="shared" si="8"/>
        <v>-0.29629656448033742</v>
      </c>
      <c r="U33" s="1">
        <f>_xlfn.NORM.S.INV(1-$U$8/2)*SQRT((1+2*SUMSQ(S$12:S32))/COUNT($H$3:$H$97))</f>
        <v>0.29629656448033742</v>
      </c>
    </row>
    <row r="34" spans="1:21" x14ac:dyDescent="0.15">
      <c r="A34" s="9">
        <v>43160</v>
      </c>
      <c r="B34" s="8">
        <v>1548.6</v>
      </c>
      <c r="C34" s="11">
        <f t="shared" si="3"/>
        <v>1548.1522872098685</v>
      </c>
      <c r="D34" s="11">
        <f t="shared" si="4"/>
        <v>0.16345076474359216</v>
      </c>
      <c r="E34" s="11">
        <f t="shared" si="5"/>
        <v>1547.7045744197371</v>
      </c>
      <c r="F34" s="11"/>
      <c r="G34" s="11"/>
      <c r="H34" s="12">
        <f t="shared" si="0"/>
        <v>0.8954255802627813</v>
      </c>
      <c r="I34" s="12">
        <f t="shared" si="1"/>
        <v>0.8954255802627813</v>
      </c>
      <c r="J34" s="12">
        <f t="shared" si="6"/>
        <v>0.8017869697889386</v>
      </c>
      <c r="K34" s="12">
        <f t="shared" si="2"/>
        <v>5.7821618252794867E-2</v>
      </c>
      <c r="R34" s="1">
        <f t="shared" si="7"/>
        <v>23</v>
      </c>
      <c r="S34" s="1">
        <f>[1]!ACF($H$3:$H$97,R34)</f>
        <v>-8.5303590562682587E-3</v>
      </c>
      <c r="T34" s="1">
        <f t="shared" si="8"/>
        <v>-0.29630423627425062</v>
      </c>
      <c r="U34" s="1">
        <f>_xlfn.NORM.S.INV(1-$U$8/2)*SQRT((1+2*SUMSQ(S$12:S33))/COUNT($H$3:$H$97))</f>
        <v>0.29630423627425062</v>
      </c>
    </row>
    <row r="35" spans="1:21" x14ac:dyDescent="0.15">
      <c r="A35" s="9">
        <v>43191</v>
      </c>
      <c r="B35" s="8">
        <v>1542.1</v>
      </c>
      <c r="C35" s="11">
        <f t="shared" si="3"/>
        <v>1545.207868987306</v>
      </c>
      <c r="D35" s="11">
        <f t="shared" si="4"/>
        <v>-1.3904837289094489</v>
      </c>
      <c r="E35" s="11">
        <f t="shared" si="5"/>
        <v>1548.3157379746121</v>
      </c>
      <c r="F35" s="11"/>
      <c r="G35" s="11"/>
      <c r="H35" s="12">
        <f t="shared" si="0"/>
        <v>-6.2157379746122388</v>
      </c>
      <c r="I35" s="12">
        <f t="shared" si="1"/>
        <v>6.2157379746122388</v>
      </c>
      <c r="J35" s="12">
        <f t="shared" si="6"/>
        <v>38.635398569036653</v>
      </c>
      <c r="K35" s="12">
        <f t="shared" si="2"/>
        <v>0.40306970848921853</v>
      </c>
      <c r="R35" s="27">
        <f t="shared" si="7"/>
        <v>24</v>
      </c>
      <c r="S35" s="27">
        <f>[1]!ACF($H$3:$H$97,R35)</f>
        <v>2.4569161172799371E-2</v>
      </c>
      <c r="T35" s="27">
        <f t="shared" si="8"/>
        <v>-0.29631416656723392</v>
      </c>
      <c r="U35" s="27">
        <f>_xlfn.NORM.S.INV(1-$U$8/2)*SQRT((1+2*SUMSQ(S$12:S34))/COUNT($H$3:$H$97))</f>
        <v>0.29631416656723392</v>
      </c>
    </row>
    <row r="36" spans="1:21" x14ac:dyDescent="0.15">
      <c r="A36" s="9">
        <v>43221</v>
      </c>
      <c r="B36" s="8">
        <v>1588.6</v>
      </c>
      <c r="C36" s="11">
        <f t="shared" si="3"/>
        <v>1566.2086926291981</v>
      </c>
      <c r="D36" s="11">
        <f t="shared" si="4"/>
        <v>9.8051699564913317</v>
      </c>
      <c r="E36" s="11">
        <f t="shared" si="5"/>
        <v>1543.8173852583966</v>
      </c>
      <c r="F36" s="11"/>
      <c r="G36" s="11"/>
      <c r="H36" s="12">
        <f t="shared" si="0"/>
        <v>44.782614741603311</v>
      </c>
      <c r="I36" s="12">
        <f t="shared" si="1"/>
        <v>44.782614741603311</v>
      </c>
      <c r="J36" s="12">
        <f t="shared" si="6"/>
        <v>2005.4825830948662</v>
      </c>
      <c r="K36" s="12">
        <f t="shared" si="2"/>
        <v>2.8189987877126597</v>
      </c>
    </row>
    <row r="37" spans="1:21" x14ac:dyDescent="0.15">
      <c r="A37" s="9">
        <v>43252</v>
      </c>
      <c r="B37" s="8">
        <v>1577.2</v>
      </c>
      <c r="C37" s="11">
        <f t="shared" si="3"/>
        <v>1576.6069312928448</v>
      </c>
      <c r="D37" s="11">
        <f t="shared" si="4"/>
        <v>10.101704310069007</v>
      </c>
      <c r="E37" s="11">
        <f t="shared" si="5"/>
        <v>1576.0138625856894</v>
      </c>
      <c r="F37" s="11"/>
      <c r="G37" s="11"/>
      <c r="H37" s="12">
        <f t="shared" si="0"/>
        <v>1.1861374143106787</v>
      </c>
      <c r="I37" s="12">
        <f t="shared" si="1"/>
        <v>1.1861374143106787</v>
      </c>
      <c r="J37" s="12">
        <f t="shared" si="6"/>
        <v>1.4069219656276226</v>
      </c>
      <c r="K37" s="12">
        <f t="shared" si="2"/>
        <v>7.5205263397836578E-2</v>
      </c>
    </row>
    <row r="38" spans="1:21" x14ac:dyDescent="0.15">
      <c r="A38" s="9">
        <v>43282</v>
      </c>
      <c r="B38" s="8">
        <v>1540.7</v>
      </c>
      <c r="C38" s="11">
        <f t="shared" si="3"/>
        <v>1563.7043178014569</v>
      </c>
      <c r="D38" s="11">
        <f t="shared" si="4"/>
        <v>-1.4004545906594519</v>
      </c>
      <c r="E38" s="11">
        <f t="shared" si="5"/>
        <v>1586.7086356029138</v>
      </c>
      <c r="F38" s="11"/>
      <c r="G38" s="11"/>
      <c r="H38" s="12">
        <f t="shared" si="0"/>
        <v>-46.008635602913728</v>
      </c>
      <c r="I38" s="12">
        <f t="shared" si="1"/>
        <v>46.008635602913728</v>
      </c>
      <c r="J38" s="12">
        <f t="shared" si="6"/>
        <v>2116.7945500417009</v>
      </c>
      <c r="K38" s="12">
        <f t="shared" si="2"/>
        <v>2.9862163693719563</v>
      </c>
    </row>
    <row r="39" spans="1:21" x14ac:dyDescent="0.15">
      <c r="A39" s="9">
        <v>43313</v>
      </c>
      <c r="B39" s="8">
        <v>1554.6</v>
      </c>
      <c r="C39" s="11">
        <f t="shared" si="3"/>
        <v>1558.4519316053988</v>
      </c>
      <c r="D39" s="11">
        <f t="shared" si="4"/>
        <v>-3.3264203933587604</v>
      </c>
      <c r="E39" s="11">
        <f t="shared" si="5"/>
        <v>1562.3038632107975</v>
      </c>
      <c r="F39" s="11"/>
      <c r="G39" s="11"/>
      <c r="H39" s="12">
        <f t="shared" si="0"/>
        <v>-7.7038632107976355</v>
      </c>
      <c r="I39" s="12">
        <f t="shared" si="1"/>
        <v>7.7038632107976355</v>
      </c>
      <c r="J39" s="12">
        <f t="shared" si="6"/>
        <v>59.349508370681257</v>
      </c>
      <c r="K39" s="12">
        <f t="shared" si="2"/>
        <v>0.49555276024685685</v>
      </c>
    </row>
    <row r="40" spans="1:21" x14ac:dyDescent="0.15">
      <c r="A40" s="9">
        <v>43344</v>
      </c>
      <c r="B40" s="8">
        <v>1560</v>
      </c>
      <c r="C40" s="11">
        <f t="shared" si="3"/>
        <v>1557.5627556060199</v>
      </c>
      <c r="D40" s="11">
        <f t="shared" si="4"/>
        <v>-2.1077981963688548</v>
      </c>
      <c r="E40" s="11">
        <f t="shared" si="5"/>
        <v>1555.12551121204</v>
      </c>
      <c r="F40" s="11"/>
      <c r="G40" s="11"/>
      <c r="H40" s="12">
        <f t="shared" si="0"/>
        <v>4.8744887879599901</v>
      </c>
      <c r="I40" s="12">
        <f t="shared" si="1"/>
        <v>4.8744887879599901</v>
      </c>
      <c r="J40" s="12">
        <f t="shared" si="6"/>
        <v>23.760640943947653</v>
      </c>
      <c r="K40" s="12">
        <f t="shared" si="2"/>
        <v>0.31246722999743526</v>
      </c>
    </row>
    <row r="41" spans="1:21" x14ac:dyDescent="0.15">
      <c r="A41" s="9">
        <v>43374</v>
      </c>
      <c r="B41" s="8">
        <v>1565.6</v>
      </c>
      <c r="C41" s="11">
        <f t="shared" si="3"/>
        <v>1560.5274787048256</v>
      </c>
      <c r="D41" s="11">
        <f t="shared" si="4"/>
        <v>0.42846245121843984</v>
      </c>
      <c r="E41" s="11">
        <f t="shared" si="5"/>
        <v>1555.4549574096511</v>
      </c>
      <c r="F41" s="11"/>
      <c r="G41" s="11"/>
      <c r="H41" s="12">
        <f t="shared" si="0"/>
        <v>10.145042590348794</v>
      </c>
      <c r="I41" s="12">
        <f t="shared" si="1"/>
        <v>10.145042590348794</v>
      </c>
      <c r="J41" s="12">
        <f t="shared" si="6"/>
        <v>102.92188915999097</v>
      </c>
      <c r="K41" s="12">
        <f t="shared" si="2"/>
        <v>0.64799709953684181</v>
      </c>
    </row>
    <row r="42" spans="1:21" x14ac:dyDescent="0.15">
      <c r="A42" s="9">
        <v>43405</v>
      </c>
      <c r="B42" s="8">
        <v>1537.1</v>
      </c>
      <c r="C42" s="11">
        <f t="shared" si="3"/>
        <v>1549.027970578022</v>
      </c>
      <c r="D42" s="11">
        <f t="shared" si="4"/>
        <v>-5.5355228377926178</v>
      </c>
      <c r="E42" s="11">
        <f t="shared" si="5"/>
        <v>1560.955941156044</v>
      </c>
      <c r="F42" s="11"/>
      <c r="G42" s="11"/>
      <c r="H42" s="12">
        <f t="shared" si="0"/>
        <v>-23.855941156044082</v>
      </c>
      <c r="I42" s="12">
        <f t="shared" si="1"/>
        <v>23.855941156044082</v>
      </c>
      <c r="J42" s="12">
        <f t="shared" si="6"/>
        <v>569.10592844063785</v>
      </c>
      <c r="K42" s="12">
        <f t="shared" si="2"/>
        <v>1.552009703730667</v>
      </c>
    </row>
    <row r="43" spans="1:21" x14ac:dyDescent="0.15">
      <c r="A43" s="9">
        <v>43435</v>
      </c>
      <c r="B43" s="8">
        <v>1567.6</v>
      </c>
      <c r="C43" s="11">
        <f t="shared" si="3"/>
        <v>1555.5462238701148</v>
      </c>
      <c r="D43" s="11">
        <f t="shared" si="4"/>
        <v>0.49136522715010233</v>
      </c>
      <c r="E43" s="11">
        <f t="shared" si="5"/>
        <v>1543.4924477402294</v>
      </c>
      <c r="F43" s="11"/>
      <c r="G43" s="11"/>
      <c r="H43" s="12">
        <f t="shared" si="0"/>
        <v>24.1075522597705</v>
      </c>
      <c r="I43" s="12">
        <f t="shared" si="1"/>
        <v>24.1075522597705</v>
      </c>
      <c r="J43" s="12">
        <f t="shared" si="6"/>
        <v>581.17407595756572</v>
      </c>
      <c r="K43" s="12">
        <f t="shared" si="2"/>
        <v>1.5378637573214151</v>
      </c>
    </row>
    <row r="44" spans="1:21" x14ac:dyDescent="0.15">
      <c r="A44" s="9">
        <v>43466</v>
      </c>
      <c r="B44" s="8">
        <v>1540.1</v>
      </c>
      <c r="C44" s="11">
        <f t="shared" si="3"/>
        <v>1548.0687945486325</v>
      </c>
      <c r="D44" s="11">
        <f t="shared" si="4"/>
        <v>-3.4930320471661012</v>
      </c>
      <c r="E44" s="11">
        <f t="shared" si="5"/>
        <v>1556.0375890972648</v>
      </c>
      <c r="F44" s="11"/>
      <c r="G44" s="11"/>
      <c r="H44" s="12">
        <f t="shared" si="0"/>
        <v>-15.93758909726489</v>
      </c>
      <c r="I44" s="12">
        <f t="shared" si="1"/>
        <v>15.93758909726489</v>
      </c>
      <c r="J44" s="12">
        <f t="shared" si="6"/>
        <v>254.00674623325671</v>
      </c>
      <c r="K44" s="12">
        <f t="shared" si="2"/>
        <v>1.0348411854597033</v>
      </c>
    </row>
    <row r="45" spans="1:21" x14ac:dyDescent="0.15">
      <c r="A45" s="9">
        <v>43497</v>
      </c>
      <c r="B45" s="8">
        <v>1566.3</v>
      </c>
      <c r="C45" s="11">
        <f t="shared" si="3"/>
        <v>1555.4378812507332</v>
      </c>
      <c r="D45" s="11">
        <f t="shared" si="4"/>
        <v>1.9380273274673148</v>
      </c>
      <c r="E45" s="11">
        <f t="shared" si="5"/>
        <v>1544.5757625014664</v>
      </c>
      <c r="F45" s="11"/>
      <c r="G45" s="11"/>
      <c r="H45" s="12">
        <f t="shared" si="0"/>
        <v>21.724237498533512</v>
      </c>
      <c r="I45" s="12">
        <f t="shared" si="1"/>
        <v>21.724237498533512</v>
      </c>
      <c r="J45" s="12">
        <f t="shared" si="6"/>
        <v>471.94249489268958</v>
      </c>
      <c r="K45" s="12">
        <f t="shared" si="2"/>
        <v>1.3869780692417488</v>
      </c>
    </row>
    <row r="46" spans="1:21" x14ac:dyDescent="0.15">
      <c r="A46" s="9">
        <v>43525</v>
      </c>
      <c r="B46" s="8">
        <v>1535.7</v>
      </c>
      <c r="C46" s="11">
        <f t="shared" si="3"/>
        <v>1546.5379542891003</v>
      </c>
      <c r="D46" s="11">
        <f t="shared" si="4"/>
        <v>-3.4809498170827928</v>
      </c>
      <c r="E46" s="11">
        <f t="shared" si="5"/>
        <v>1557.3759085782006</v>
      </c>
      <c r="F46" s="11"/>
      <c r="G46" s="11"/>
      <c r="H46" s="12">
        <f t="shared" si="0"/>
        <v>-21.675908578200506</v>
      </c>
      <c r="I46" s="12">
        <f t="shared" si="1"/>
        <v>21.675908578200506</v>
      </c>
      <c r="J46" s="12">
        <f t="shared" si="6"/>
        <v>469.84501269050628</v>
      </c>
      <c r="K46" s="12">
        <f t="shared" si="2"/>
        <v>1.4114676420004235</v>
      </c>
    </row>
    <row r="47" spans="1:21" x14ac:dyDescent="0.15">
      <c r="A47" s="9">
        <v>43556</v>
      </c>
      <c r="B47" s="8">
        <v>1565.8</v>
      </c>
      <c r="C47" s="11">
        <f t="shared" si="3"/>
        <v>1554.4285022360086</v>
      </c>
      <c r="D47" s="11">
        <f t="shared" si="4"/>
        <v>2.2047990649127671</v>
      </c>
      <c r="E47" s="11">
        <f t="shared" si="5"/>
        <v>1543.0570044720175</v>
      </c>
      <c r="F47" s="11"/>
      <c r="G47" s="11"/>
      <c r="H47" s="12">
        <f t="shared" si="0"/>
        <v>22.74299552798243</v>
      </c>
      <c r="I47" s="12">
        <f t="shared" si="1"/>
        <v>22.74299552798243</v>
      </c>
      <c r="J47" s="12">
        <f t="shared" si="6"/>
        <v>517.24384558582881</v>
      </c>
      <c r="K47" s="12">
        <f t="shared" si="2"/>
        <v>1.4524840674404413</v>
      </c>
    </row>
    <row r="48" spans="1:21" x14ac:dyDescent="0.15">
      <c r="A48" s="9">
        <v>43586</v>
      </c>
      <c r="B48" s="8">
        <v>1575.7</v>
      </c>
      <c r="C48" s="11">
        <f t="shared" si="3"/>
        <v>1566.1666506504607</v>
      </c>
      <c r="D48" s="11">
        <f t="shared" si="4"/>
        <v>6.9714737396824322</v>
      </c>
      <c r="E48" s="11">
        <f t="shared" si="5"/>
        <v>1556.6333013009214</v>
      </c>
      <c r="F48" s="11"/>
      <c r="G48" s="11"/>
      <c r="H48" s="12">
        <f t="shared" si="0"/>
        <v>19.066698699078643</v>
      </c>
      <c r="I48" s="12">
        <f t="shared" si="1"/>
        <v>19.066698699078643</v>
      </c>
      <c r="J48" s="12">
        <f t="shared" si="6"/>
        <v>363.53899928144722</v>
      </c>
      <c r="K48" s="12">
        <f t="shared" si="2"/>
        <v>1.2100462460543657</v>
      </c>
    </row>
    <row r="49" spans="1:11" x14ac:dyDescent="0.15">
      <c r="A49" s="9">
        <v>43617</v>
      </c>
      <c r="B49" s="8">
        <v>1570</v>
      </c>
      <c r="C49" s="11">
        <f t="shared" si="3"/>
        <v>1571.5690621950716</v>
      </c>
      <c r="D49" s="11">
        <f t="shared" si="4"/>
        <v>6.1869426421466729</v>
      </c>
      <c r="E49" s="11">
        <f t="shared" si="5"/>
        <v>1573.138124390143</v>
      </c>
      <c r="F49" s="11"/>
      <c r="G49" s="11"/>
      <c r="H49" s="12">
        <f t="shared" si="0"/>
        <v>-3.138124390143048</v>
      </c>
      <c r="I49" s="12">
        <f t="shared" si="1"/>
        <v>3.138124390143048</v>
      </c>
      <c r="J49" s="12">
        <f t="shared" si="6"/>
        <v>9.847824688010677</v>
      </c>
      <c r="K49" s="12">
        <f t="shared" si="2"/>
        <v>0.19988053440401582</v>
      </c>
    </row>
    <row r="50" spans="1:11" x14ac:dyDescent="0.15">
      <c r="A50" s="9">
        <v>43647</v>
      </c>
      <c r="B50" s="8">
        <v>1548.9</v>
      </c>
      <c r="C50" s="11">
        <f t="shared" si="3"/>
        <v>1563.3280024186092</v>
      </c>
      <c r="D50" s="11">
        <f t="shared" si="4"/>
        <v>-1.0270585671578671</v>
      </c>
      <c r="E50" s="11">
        <f t="shared" si="5"/>
        <v>1577.7560048372184</v>
      </c>
      <c r="F50" s="11"/>
      <c r="G50" s="11"/>
      <c r="H50" s="12">
        <f t="shared" si="0"/>
        <v>-28.856004837218279</v>
      </c>
      <c r="I50" s="12">
        <f t="shared" si="1"/>
        <v>28.856004837218279</v>
      </c>
      <c r="J50" s="12">
        <f t="shared" si="6"/>
        <v>832.6690151655647</v>
      </c>
      <c r="K50" s="12">
        <f t="shared" si="2"/>
        <v>1.8629998603666007</v>
      </c>
    </row>
    <row r="51" spans="1:11" x14ac:dyDescent="0.15">
      <c r="A51" s="9">
        <v>43678</v>
      </c>
      <c r="B51" s="8">
        <v>1575.1</v>
      </c>
      <c r="C51" s="11">
        <f t="shared" si="3"/>
        <v>1568.7004719257257</v>
      </c>
      <c r="D51" s="11">
        <f t="shared" si="4"/>
        <v>2.1727054699792765</v>
      </c>
      <c r="E51" s="11">
        <f t="shared" si="5"/>
        <v>1562.3009438514514</v>
      </c>
      <c r="F51" s="11"/>
      <c r="G51" s="11"/>
      <c r="H51" s="12">
        <f t="shared" si="0"/>
        <v>12.799056148548516</v>
      </c>
      <c r="I51" s="12">
        <f t="shared" si="1"/>
        <v>12.799056148548516</v>
      </c>
      <c r="J51" s="12">
        <f t="shared" si="6"/>
        <v>163.81583829369757</v>
      </c>
      <c r="K51" s="12">
        <f t="shared" si="2"/>
        <v>0.81258689280353735</v>
      </c>
    </row>
    <row r="52" spans="1:11" x14ac:dyDescent="0.15">
      <c r="A52" s="9">
        <v>43709</v>
      </c>
      <c r="B52" s="8">
        <v>1576.2</v>
      </c>
      <c r="C52" s="11">
        <f t="shared" si="3"/>
        <v>1573.5365886978525</v>
      </c>
      <c r="D52" s="11">
        <f t="shared" si="4"/>
        <v>3.5044111210530597</v>
      </c>
      <c r="E52" s="11">
        <f t="shared" si="5"/>
        <v>1570.8731773957049</v>
      </c>
      <c r="F52" s="11"/>
      <c r="G52" s="11"/>
      <c r="H52" s="12">
        <f t="shared" si="0"/>
        <v>5.3268226042951028</v>
      </c>
      <c r="I52" s="12">
        <f t="shared" si="1"/>
        <v>5.3268226042951028</v>
      </c>
      <c r="J52" s="12">
        <f t="shared" si="6"/>
        <v>28.375039057629262</v>
      </c>
      <c r="K52" s="12">
        <f t="shared" si="2"/>
        <v>0.33795347064427755</v>
      </c>
    </row>
    <row r="53" spans="1:11" x14ac:dyDescent="0.15">
      <c r="A53" s="9">
        <v>43739</v>
      </c>
      <c r="B53" s="8">
        <v>1571.7</v>
      </c>
      <c r="C53" s="11">
        <f t="shared" si="3"/>
        <v>1574.3704999094527</v>
      </c>
      <c r="D53" s="11">
        <f t="shared" si="4"/>
        <v>2.1691611663266563</v>
      </c>
      <c r="E53" s="11">
        <f t="shared" si="5"/>
        <v>1577.0409998189054</v>
      </c>
      <c r="F53" s="11"/>
      <c r="G53" s="11"/>
      <c r="H53" s="12">
        <f t="shared" si="0"/>
        <v>-5.3409998189054022</v>
      </c>
      <c r="I53" s="12">
        <f t="shared" si="1"/>
        <v>5.3409998189054022</v>
      </c>
      <c r="J53" s="12">
        <f t="shared" si="6"/>
        <v>28.526279065547538</v>
      </c>
      <c r="K53" s="12">
        <f t="shared" si="2"/>
        <v>0.33982310993862708</v>
      </c>
    </row>
    <row r="54" spans="1:11" x14ac:dyDescent="0.15">
      <c r="A54" s="9">
        <v>43770</v>
      </c>
      <c r="B54" s="8">
        <v>1580.8</v>
      </c>
      <c r="C54" s="11">
        <f t="shared" si="3"/>
        <v>1578.6698305378895</v>
      </c>
      <c r="D54" s="11">
        <f t="shared" si="4"/>
        <v>3.2342458973817241</v>
      </c>
      <c r="E54" s="11">
        <f t="shared" si="5"/>
        <v>1576.5396610757793</v>
      </c>
      <c r="F54" s="11"/>
      <c r="G54" s="11"/>
      <c r="H54" s="12">
        <f t="shared" si="0"/>
        <v>4.2603389242206049</v>
      </c>
      <c r="I54" s="12">
        <f t="shared" si="1"/>
        <v>4.2603389242206049</v>
      </c>
      <c r="J54" s="12">
        <f t="shared" si="6"/>
        <v>18.150487749229182</v>
      </c>
      <c r="K54" s="12">
        <f t="shared" si="2"/>
        <v>0.26950524571233586</v>
      </c>
    </row>
    <row r="55" spans="1:11" x14ac:dyDescent="0.15">
      <c r="A55" s="9">
        <v>43800</v>
      </c>
      <c r="B55" s="8">
        <v>1590.7</v>
      </c>
      <c r="C55" s="11">
        <f t="shared" si="3"/>
        <v>1586.3020382176355</v>
      </c>
      <c r="D55" s="11">
        <f t="shared" si="4"/>
        <v>5.4332267885638563</v>
      </c>
      <c r="E55" s="11">
        <f t="shared" si="5"/>
        <v>1581.9040764352712</v>
      </c>
      <c r="F55" s="11"/>
      <c r="G55" s="11"/>
      <c r="H55" s="12">
        <f t="shared" si="0"/>
        <v>8.7959235647288097</v>
      </c>
      <c r="I55" s="12">
        <f t="shared" si="1"/>
        <v>8.7959235647288097</v>
      </c>
      <c r="J55" s="12">
        <f t="shared" si="6"/>
        <v>77.368271356551574</v>
      </c>
      <c r="K55" s="12">
        <f t="shared" si="2"/>
        <v>0.5529592987193569</v>
      </c>
    </row>
    <row r="56" spans="1:11" x14ac:dyDescent="0.15">
      <c r="A56" s="9">
        <v>43831</v>
      </c>
      <c r="B56" s="8">
        <v>1566.5</v>
      </c>
      <c r="C56" s="11">
        <f t="shared" si="3"/>
        <v>1579.1176325030997</v>
      </c>
      <c r="D56" s="11">
        <f t="shared" si="4"/>
        <v>-0.87558946298599283</v>
      </c>
      <c r="E56" s="11">
        <f t="shared" si="5"/>
        <v>1591.7352650061994</v>
      </c>
      <c r="F56" s="11"/>
      <c r="G56" s="11"/>
      <c r="H56" s="12">
        <f t="shared" si="0"/>
        <v>-25.23526500619937</v>
      </c>
      <c r="I56" s="12">
        <f t="shared" si="1"/>
        <v>25.23526500619937</v>
      </c>
      <c r="J56" s="12">
        <f t="shared" si="6"/>
        <v>636.81859993311048</v>
      </c>
      <c r="K56" s="12">
        <f t="shared" si="2"/>
        <v>1.6109329719884693</v>
      </c>
    </row>
    <row r="57" spans="1:11" x14ac:dyDescent="0.15">
      <c r="A57" s="9">
        <v>43862</v>
      </c>
      <c r="B57" s="8">
        <v>1587.1</v>
      </c>
      <c r="C57" s="11">
        <f t="shared" si="3"/>
        <v>1582.6710215200569</v>
      </c>
      <c r="D57" s="11">
        <f t="shared" si="4"/>
        <v>1.3388997769856166</v>
      </c>
      <c r="E57" s="11">
        <f t="shared" si="5"/>
        <v>1578.2420430401137</v>
      </c>
      <c r="F57" s="11"/>
      <c r="G57" s="11"/>
      <c r="H57" s="12">
        <f t="shared" si="0"/>
        <v>8.8579569598862236</v>
      </c>
      <c r="I57" s="12">
        <f t="shared" si="1"/>
        <v>8.8579569598862236</v>
      </c>
      <c r="J57" s="12">
        <f t="shared" si="6"/>
        <v>78.463401503196792</v>
      </c>
      <c r="K57" s="12">
        <f t="shared" si="2"/>
        <v>0.55812216998842057</v>
      </c>
    </row>
    <row r="58" spans="1:11" x14ac:dyDescent="0.15">
      <c r="A58" s="9">
        <v>43891</v>
      </c>
      <c r="B58" s="8">
        <v>1426.1</v>
      </c>
      <c r="C58" s="11">
        <f t="shared" si="3"/>
        <v>1505.0549606485213</v>
      </c>
      <c r="D58" s="11">
        <f t="shared" si="4"/>
        <v>-38.138580547275012</v>
      </c>
      <c r="E58" s="11">
        <f t="shared" si="5"/>
        <v>1584.0099212970426</v>
      </c>
      <c r="F58" s="11"/>
      <c r="G58" s="11"/>
      <c r="H58" s="12">
        <f t="shared" si="0"/>
        <v>-157.90992129704273</v>
      </c>
      <c r="I58" s="12">
        <f t="shared" si="1"/>
        <v>157.90992129704273</v>
      </c>
      <c r="J58" s="12">
        <f t="shared" si="6"/>
        <v>24935.543244038228</v>
      </c>
      <c r="K58" s="12">
        <f t="shared" si="2"/>
        <v>11.072850522196392</v>
      </c>
    </row>
    <row r="59" spans="1:11" x14ac:dyDescent="0.15">
      <c r="A59" s="9">
        <v>43922</v>
      </c>
      <c r="B59" s="8">
        <v>1241.5999999999999</v>
      </c>
      <c r="C59" s="11">
        <f t="shared" si="3"/>
        <v>1354.2581900506229</v>
      </c>
      <c r="D59" s="11">
        <f t="shared" si="4"/>
        <v>-94.467675572586671</v>
      </c>
      <c r="E59" s="11">
        <f t="shared" si="5"/>
        <v>1466.9163801012462</v>
      </c>
      <c r="F59" s="11"/>
      <c r="G59" s="11"/>
      <c r="H59" s="12">
        <f t="shared" si="0"/>
        <v>-225.3163801012463</v>
      </c>
      <c r="I59" s="12">
        <f t="shared" si="1"/>
        <v>225.3163801012463</v>
      </c>
      <c r="J59" s="12">
        <f t="shared" si="6"/>
        <v>50767.471141929294</v>
      </c>
      <c r="K59" s="12">
        <f t="shared" si="2"/>
        <v>18.147259995267905</v>
      </c>
    </row>
    <row r="60" spans="1:11" x14ac:dyDescent="0.15">
      <c r="A60" s="9">
        <v>43952</v>
      </c>
      <c r="B60" s="8">
        <v>1751.8</v>
      </c>
      <c r="C60" s="11">
        <f t="shared" si="3"/>
        <v>1505.7952572390182</v>
      </c>
      <c r="D60" s="11">
        <f t="shared" si="4"/>
        <v>28.534695807904271</v>
      </c>
      <c r="E60" s="11">
        <f t="shared" si="5"/>
        <v>1259.7905144780364</v>
      </c>
      <c r="F60" s="11"/>
      <c r="G60" s="11"/>
      <c r="H60" s="12">
        <f t="shared" si="0"/>
        <v>492.0094855219636</v>
      </c>
      <c r="I60" s="12">
        <f t="shared" si="1"/>
        <v>492.0094855219636</v>
      </c>
      <c r="J60" s="12">
        <f t="shared" si="6"/>
        <v>242073.33384358732</v>
      </c>
      <c r="K60" s="12">
        <f t="shared" si="2"/>
        <v>28.085939349352874</v>
      </c>
    </row>
    <row r="61" spans="1:11" x14ac:dyDescent="0.15">
      <c r="A61" s="9">
        <v>43983</v>
      </c>
      <c r="B61" s="8">
        <v>1574.8</v>
      </c>
      <c r="C61" s="11">
        <f t="shared" si="3"/>
        <v>1554.5649765234612</v>
      </c>
      <c r="D61" s="11">
        <f t="shared" si="4"/>
        <v>38.652207546173635</v>
      </c>
      <c r="E61" s="11">
        <f t="shared" si="5"/>
        <v>1534.3299530469224</v>
      </c>
      <c r="F61" s="11"/>
      <c r="G61" s="11"/>
      <c r="H61" s="12">
        <f t="shared" si="0"/>
        <v>40.470046953077599</v>
      </c>
      <c r="I61" s="12">
        <f t="shared" si="1"/>
        <v>40.470046953077599</v>
      </c>
      <c r="J61" s="12">
        <f t="shared" si="6"/>
        <v>1637.8247003843055</v>
      </c>
      <c r="K61" s="12">
        <f t="shared" si="2"/>
        <v>2.5698531212266702</v>
      </c>
    </row>
    <row r="62" spans="1:11" x14ac:dyDescent="0.15">
      <c r="A62" s="9">
        <v>44013</v>
      </c>
      <c r="B62" s="8">
        <v>1630.6</v>
      </c>
      <c r="C62" s="11">
        <f t="shared" si="3"/>
        <v>1611.9085920348175</v>
      </c>
      <c r="D62" s="11">
        <f t="shared" si="4"/>
        <v>47.997911528764988</v>
      </c>
      <c r="E62" s="11">
        <f t="shared" si="5"/>
        <v>1593.2171840696349</v>
      </c>
      <c r="F62" s="11"/>
      <c r="G62" s="11"/>
      <c r="H62" s="12">
        <f t="shared" si="0"/>
        <v>37.382815930365041</v>
      </c>
      <c r="I62" s="12">
        <f t="shared" si="1"/>
        <v>37.382815930365041</v>
      </c>
      <c r="J62" s="12">
        <f t="shared" si="6"/>
        <v>1397.4749268835542</v>
      </c>
      <c r="K62" s="12">
        <f t="shared" si="2"/>
        <v>2.2925803955823039</v>
      </c>
    </row>
    <row r="63" spans="1:11" x14ac:dyDescent="0.15">
      <c r="A63" s="9">
        <v>44044</v>
      </c>
      <c r="B63" s="8">
        <v>1470.1</v>
      </c>
      <c r="C63" s="11">
        <f t="shared" si="3"/>
        <v>1565.0032517817913</v>
      </c>
      <c r="D63" s="11">
        <f t="shared" si="4"/>
        <v>0.54628563786938145</v>
      </c>
      <c r="E63" s="11">
        <f t="shared" si="5"/>
        <v>1659.9065035635824</v>
      </c>
      <c r="F63" s="11"/>
      <c r="G63" s="11"/>
      <c r="H63" s="12">
        <f t="shared" si="0"/>
        <v>-189.80650356358251</v>
      </c>
      <c r="I63" s="12">
        <f t="shared" si="1"/>
        <v>189.80650356358251</v>
      </c>
      <c r="J63" s="12">
        <f t="shared" si="6"/>
        <v>36026.508795032263</v>
      </c>
      <c r="K63" s="12">
        <f t="shared" si="2"/>
        <v>12.911128737064317</v>
      </c>
    </row>
    <row r="64" spans="1:11" x14ac:dyDescent="0.15">
      <c r="A64" s="9">
        <v>44075</v>
      </c>
      <c r="B64" s="8">
        <v>1466.6</v>
      </c>
      <c r="C64" s="11">
        <f t="shared" si="3"/>
        <v>1516.0747687098303</v>
      </c>
      <c r="D64" s="11">
        <f t="shared" si="4"/>
        <v>-24.191098717045787</v>
      </c>
      <c r="E64" s="11">
        <f t="shared" si="5"/>
        <v>1565.5495374196607</v>
      </c>
      <c r="F64" s="11"/>
      <c r="G64" s="11"/>
      <c r="H64" s="12">
        <f t="shared" si="0"/>
        <v>-98.949537419660828</v>
      </c>
      <c r="I64" s="12">
        <f t="shared" si="1"/>
        <v>98.949537419660828</v>
      </c>
      <c r="J64" s="12">
        <f t="shared" si="6"/>
        <v>9791.0109555648578</v>
      </c>
      <c r="K64" s="12">
        <f t="shared" si="2"/>
        <v>6.7468660452516591</v>
      </c>
    </row>
    <row r="65" spans="1:11" x14ac:dyDescent="0.15">
      <c r="A65" s="9">
        <v>44105</v>
      </c>
      <c r="B65" s="8">
        <v>1590.5</v>
      </c>
      <c r="C65" s="11">
        <f t="shared" si="3"/>
        <v>1541.1918349963921</v>
      </c>
      <c r="D65" s="11">
        <f t="shared" si="4"/>
        <v>0.46298378475800384</v>
      </c>
      <c r="E65" s="11">
        <f t="shared" si="5"/>
        <v>1491.8836699927845</v>
      </c>
      <c r="F65" s="11"/>
      <c r="G65" s="11"/>
      <c r="H65" s="12">
        <f t="shared" si="0"/>
        <v>98.616330007215538</v>
      </c>
      <c r="I65" s="12">
        <f t="shared" si="1"/>
        <v>98.616330007215538</v>
      </c>
      <c r="J65" s="12">
        <f t="shared" si="6"/>
        <v>9725.1805440920398</v>
      </c>
      <c r="K65" s="12">
        <f t="shared" si="2"/>
        <v>6.2003351151974559</v>
      </c>
    </row>
    <row r="66" spans="1:11" x14ac:dyDescent="0.15">
      <c r="A66" s="9">
        <v>44136</v>
      </c>
      <c r="B66" s="8">
        <v>1809</v>
      </c>
      <c r="C66" s="11">
        <f t="shared" si="3"/>
        <v>1675.3274093905752</v>
      </c>
      <c r="D66" s="11">
        <f t="shared" si="4"/>
        <v>67.299279089470545</v>
      </c>
      <c r="E66" s="11">
        <f t="shared" si="5"/>
        <v>1541.6548187811502</v>
      </c>
      <c r="F66" s="11"/>
      <c r="G66" s="11"/>
      <c r="H66" s="12">
        <f t="shared" ref="H66:H97" si="9">B66-E66</f>
        <v>267.3451812188498</v>
      </c>
      <c r="I66" s="12">
        <f t="shared" si="1"/>
        <v>267.3451812188498</v>
      </c>
      <c r="J66" s="12">
        <f t="shared" si="6"/>
        <v>71473.445920939645</v>
      </c>
      <c r="K66" s="12">
        <f t="shared" ref="K66:K97" si="10">(I66/B66)*100</f>
        <v>14.778616982799878</v>
      </c>
    </row>
    <row r="67" spans="1:11" x14ac:dyDescent="0.15">
      <c r="A67" s="9">
        <v>44166</v>
      </c>
      <c r="B67" s="8">
        <v>1701</v>
      </c>
      <c r="C67" s="11">
        <f t="shared" si="3"/>
        <v>1721.8133442400228</v>
      </c>
      <c r="D67" s="11">
        <f t="shared" si="4"/>
        <v>56.892606969459088</v>
      </c>
      <c r="E67" s="11">
        <f t="shared" si="5"/>
        <v>1742.6266884800457</v>
      </c>
      <c r="F67" s="11"/>
      <c r="G67" s="11"/>
      <c r="H67" s="12">
        <f t="shared" si="9"/>
        <v>-41.626688480045686</v>
      </c>
      <c r="I67" s="12">
        <f t="shared" ref="I67:I96" si="11">ABS(H67)</f>
        <v>41.626688480045686</v>
      </c>
      <c r="J67" s="12">
        <f t="shared" si="6"/>
        <v>1732.7811938147684</v>
      </c>
      <c r="K67" s="12">
        <f t="shared" si="10"/>
        <v>2.447189211055008</v>
      </c>
    </row>
    <row r="68" spans="1:11" x14ac:dyDescent="0.15">
      <c r="A68" s="9">
        <v>44197</v>
      </c>
      <c r="B68" s="8">
        <v>1678</v>
      </c>
      <c r="C68" s="11">
        <f t="shared" ref="C68:C97" si="12">$O$2*B68+(1-$O$2)*(C67+D67)</f>
        <v>1728.352975604741</v>
      </c>
      <c r="D68" s="11">
        <f t="shared" ref="D68:D97" si="13">$O$3*(C68-C67)+(1-$O$3)*D67</f>
        <v>31.716119167088625</v>
      </c>
      <c r="E68" s="11">
        <f t="shared" ref="E68:E97" si="14">C67+D67</f>
        <v>1778.705951209482</v>
      </c>
      <c r="F68" s="11"/>
      <c r="G68" s="11"/>
      <c r="H68" s="12">
        <f t="shared" si="9"/>
        <v>-100.70595120948201</v>
      </c>
      <c r="I68" s="12">
        <f t="shared" si="11"/>
        <v>100.70595120948201</v>
      </c>
      <c r="J68" s="12">
        <f t="shared" ref="J68:J96" si="15">H68*H68</f>
        <v>10141.688609006571</v>
      </c>
      <c r="K68" s="12">
        <f t="shared" si="10"/>
        <v>6.0015465559882006</v>
      </c>
    </row>
    <row r="69" spans="1:11" x14ac:dyDescent="0.15">
      <c r="A69" s="9">
        <v>44228</v>
      </c>
      <c r="B69" s="8">
        <v>1672.8</v>
      </c>
      <c r="C69" s="11">
        <f t="shared" si="12"/>
        <v>1716.4345473859148</v>
      </c>
      <c r="D69" s="11">
        <f t="shared" si="13"/>
        <v>9.8988454741312157</v>
      </c>
      <c r="E69" s="11">
        <f t="shared" si="14"/>
        <v>1760.0690947718297</v>
      </c>
      <c r="F69" s="11"/>
      <c r="G69" s="11"/>
      <c r="H69" s="12">
        <f t="shared" si="9"/>
        <v>-87.269094771829714</v>
      </c>
      <c r="I69" s="12">
        <f t="shared" si="11"/>
        <v>87.269094771829714</v>
      </c>
      <c r="J69" s="12">
        <f t="shared" si="15"/>
        <v>7615.8949022945962</v>
      </c>
      <c r="K69" s="12">
        <f t="shared" si="10"/>
        <v>5.2169473201715517</v>
      </c>
    </row>
    <row r="70" spans="1:11" x14ac:dyDescent="0.15">
      <c r="A70" s="9">
        <v>44256</v>
      </c>
      <c r="B70" s="8">
        <v>1786.1</v>
      </c>
      <c r="C70" s="11">
        <f t="shared" si="12"/>
        <v>1756.2166964300229</v>
      </c>
      <c r="D70" s="11">
        <f t="shared" si="13"/>
        <v>24.840497259119662</v>
      </c>
      <c r="E70" s="11">
        <f t="shared" si="14"/>
        <v>1726.3333928600459</v>
      </c>
      <c r="F70" s="11"/>
      <c r="G70" s="11"/>
      <c r="H70" s="12">
        <f t="shared" si="9"/>
        <v>59.766607139953976</v>
      </c>
      <c r="I70" s="12">
        <f t="shared" si="11"/>
        <v>59.766607139953976</v>
      </c>
      <c r="J70" s="12">
        <f t="shared" si="15"/>
        <v>3572.0473290215978</v>
      </c>
      <c r="K70" s="12">
        <f t="shared" si="10"/>
        <v>3.346207219078102</v>
      </c>
    </row>
    <row r="71" spans="1:11" x14ac:dyDescent="0.15">
      <c r="A71" s="9">
        <v>44287</v>
      </c>
      <c r="B71" s="8">
        <v>1713.6</v>
      </c>
      <c r="C71" s="11">
        <f t="shared" si="12"/>
        <v>1747.3285968445712</v>
      </c>
      <c r="D71" s="11">
        <f t="shared" si="13"/>
        <v>7.9761988368339534</v>
      </c>
      <c r="E71" s="11">
        <f t="shared" si="14"/>
        <v>1781.0571936891427</v>
      </c>
      <c r="F71" s="11"/>
      <c r="G71" s="11"/>
      <c r="H71" s="12">
        <f t="shared" si="9"/>
        <v>-67.457193689142741</v>
      </c>
      <c r="I71" s="12">
        <f t="shared" si="11"/>
        <v>67.457193689142741</v>
      </c>
      <c r="J71" s="12">
        <f t="shared" si="15"/>
        <v>4550.472980414519</v>
      </c>
      <c r="K71" s="12">
        <f t="shared" si="10"/>
        <v>3.9365775962384886</v>
      </c>
    </row>
    <row r="72" spans="1:11" x14ac:dyDescent="0.15">
      <c r="A72" s="9">
        <v>44317</v>
      </c>
      <c r="B72" s="8">
        <v>1673</v>
      </c>
      <c r="C72" s="11">
        <f t="shared" si="12"/>
        <v>1714.1523978407026</v>
      </c>
      <c r="D72" s="11">
        <f t="shared" si="13"/>
        <v>-12.600000083517291</v>
      </c>
      <c r="E72" s="11">
        <f t="shared" si="14"/>
        <v>1755.304795681405</v>
      </c>
      <c r="F72" s="11"/>
      <c r="G72" s="11"/>
      <c r="H72" s="12">
        <f t="shared" si="9"/>
        <v>-82.304795681405039</v>
      </c>
      <c r="I72" s="12">
        <f t="shared" si="11"/>
        <v>82.304795681405039</v>
      </c>
      <c r="J72" s="12">
        <f t="shared" si="15"/>
        <v>6774.0793921578297</v>
      </c>
      <c r="K72" s="12">
        <f t="shared" si="10"/>
        <v>4.9195932863959975</v>
      </c>
    </row>
    <row r="73" spans="1:11" x14ac:dyDescent="0.15">
      <c r="A73" s="9">
        <v>44348</v>
      </c>
      <c r="B73" s="8">
        <v>1566.2</v>
      </c>
      <c r="C73" s="11">
        <f t="shared" si="12"/>
        <v>1633.8761988785927</v>
      </c>
      <c r="D73" s="11">
        <f t="shared" si="13"/>
        <v>-46.438099522813594</v>
      </c>
      <c r="E73" s="11">
        <f t="shared" si="14"/>
        <v>1701.5523977571854</v>
      </c>
      <c r="F73" s="11"/>
      <c r="G73" s="11"/>
      <c r="H73" s="12">
        <f t="shared" si="9"/>
        <v>-135.35239775718537</v>
      </c>
      <c r="I73" s="12">
        <f t="shared" si="11"/>
        <v>135.35239775718537</v>
      </c>
      <c r="J73" s="12">
        <f t="shared" si="15"/>
        <v>18320.271578619318</v>
      </c>
      <c r="K73" s="12">
        <f t="shared" si="10"/>
        <v>8.6420889897321764</v>
      </c>
    </row>
    <row r="74" spans="1:11" x14ac:dyDescent="0.15">
      <c r="A74" s="9">
        <v>44378</v>
      </c>
      <c r="B74" s="8">
        <v>1395.6</v>
      </c>
      <c r="C74" s="11">
        <f t="shared" si="12"/>
        <v>1491.5190496778896</v>
      </c>
      <c r="D74" s="11">
        <f t="shared" si="13"/>
        <v>-94.397624361758361</v>
      </c>
      <c r="E74" s="11">
        <f t="shared" si="14"/>
        <v>1587.4380993557791</v>
      </c>
      <c r="F74" s="11"/>
      <c r="G74" s="11"/>
      <c r="H74" s="12">
        <f t="shared" si="9"/>
        <v>-191.83809935577915</v>
      </c>
      <c r="I74" s="12">
        <f t="shared" si="11"/>
        <v>191.83809935577915</v>
      </c>
      <c r="J74" s="12">
        <f t="shared" si="15"/>
        <v>36801.856364437794</v>
      </c>
      <c r="K74" s="12">
        <f t="shared" si="10"/>
        <v>13.745922854383718</v>
      </c>
    </row>
    <row r="75" spans="1:11" x14ac:dyDescent="0.15">
      <c r="A75" s="9">
        <v>44409</v>
      </c>
      <c r="B75" s="8">
        <v>1221.2</v>
      </c>
      <c r="C75" s="11">
        <f t="shared" si="12"/>
        <v>1309.1607126580657</v>
      </c>
      <c r="D75" s="11">
        <f t="shared" si="13"/>
        <v>-138.37798069079113</v>
      </c>
      <c r="E75" s="11">
        <f t="shared" si="14"/>
        <v>1397.1214253161313</v>
      </c>
      <c r="F75" s="11"/>
      <c r="G75" s="11"/>
      <c r="H75" s="12">
        <f t="shared" si="9"/>
        <v>-175.92142531613126</v>
      </c>
      <c r="I75" s="12">
        <f t="shared" si="11"/>
        <v>175.92142531613126</v>
      </c>
      <c r="J75" s="12">
        <f t="shared" si="15"/>
        <v>30948.347885259151</v>
      </c>
      <c r="K75" s="12">
        <f t="shared" si="10"/>
        <v>14.405619498536787</v>
      </c>
    </row>
    <row r="76" spans="1:11" x14ac:dyDescent="0.15">
      <c r="A76" s="9">
        <v>44440</v>
      </c>
      <c r="B76" s="8">
        <v>1234.5</v>
      </c>
      <c r="C76" s="11">
        <f t="shared" si="12"/>
        <v>1202.6413659836371</v>
      </c>
      <c r="D76" s="11">
        <f t="shared" si="13"/>
        <v>-122.44866368260985</v>
      </c>
      <c r="E76" s="11">
        <f t="shared" si="14"/>
        <v>1170.7827319672745</v>
      </c>
      <c r="F76" s="11"/>
      <c r="G76" s="11"/>
      <c r="H76" s="12">
        <f t="shared" si="9"/>
        <v>63.717268032725542</v>
      </c>
      <c r="I76" s="12">
        <f t="shared" si="11"/>
        <v>63.717268032725542</v>
      </c>
      <c r="J76" s="12">
        <f t="shared" si="15"/>
        <v>4059.8902455541884</v>
      </c>
      <c r="K76" s="12">
        <f t="shared" si="10"/>
        <v>5.161382586693037</v>
      </c>
    </row>
    <row r="77" spans="1:11" x14ac:dyDescent="0.15">
      <c r="A77" s="9">
        <v>44470</v>
      </c>
      <c r="B77" s="8">
        <v>1525.4</v>
      </c>
      <c r="C77" s="11">
        <f t="shared" si="12"/>
        <v>1302.7963511505136</v>
      </c>
      <c r="D77" s="11">
        <f t="shared" si="13"/>
        <v>-11.146839257866681</v>
      </c>
      <c r="E77" s="11">
        <f t="shared" si="14"/>
        <v>1080.1927023010273</v>
      </c>
      <c r="F77" s="11"/>
      <c r="G77" s="11"/>
      <c r="H77" s="12">
        <f t="shared" si="9"/>
        <v>445.20729769897275</v>
      </c>
      <c r="I77" s="12">
        <f t="shared" si="11"/>
        <v>445.20729769897275</v>
      </c>
      <c r="J77" s="12">
        <f t="shared" si="15"/>
        <v>198209.53792442175</v>
      </c>
      <c r="K77" s="12">
        <f t="shared" si="10"/>
        <v>29.186265746622048</v>
      </c>
    </row>
    <row r="78" spans="1:11" x14ac:dyDescent="0.15">
      <c r="A78" s="9">
        <v>44501</v>
      </c>
      <c r="B78" s="8">
        <v>1800.2</v>
      </c>
      <c r="C78" s="11">
        <f t="shared" si="12"/>
        <v>1545.9247559463233</v>
      </c>
      <c r="D78" s="11">
        <f t="shared" si="13"/>
        <v>115.99078276897153</v>
      </c>
      <c r="E78" s="11">
        <f t="shared" si="14"/>
        <v>1291.6495118926468</v>
      </c>
      <c r="F78" s="11"/>
      <c r="G78" s="11"/>
      <c r="H78" s="12">
        <f t="shared" si="9"/>
        <v>508.5504881073532</v>
      </c>
      <c r="I78" s="12">
        <f t="shared" si="11"/>
        <v>508.5504881073532</v>
      </c>
      <c r="J78" s="12">
        <f t="shared" si="15"/>
        <v>258623.5989542272</v>
      </c>
      <c r="K78" s="12">
        <f t="shared" si="10"/>
        <v>28.249666043070391</v>
      </c>
    </row>
    <row r="79" spans="1:11" x14ac:dyDescent="0.15">
      <c r="A79" s="9">
        <v>44531</v>
      </c>
      <c r="B79" s="8">
        <v>1582.7</v>
      </c>
      <c r="C79" s="11">
        <f t="shared" si="12"/>
        <v>1622.3077693576474</v>
      </c>
      <c r="D79" s="11">
        <f t="shared" si="13"/>
        <v>96.186898090147821</v>
      </c>
      <c r="E79" s="11">
        <f t="shared" si="14"/>
        <v>1661.9155387152948</v>
      </c>
      <c r="F79" s="11"/>
      <c r="G79" s="11"/>
      <c r="H79" s="12">
        <f t="shared" si="9"/>
        <v>-79.21553871529477</v>
      </c>
      <c r="I79" s="12">
        <f t="shared" si="11"/>
        <v>79.21553871529477</v>
      </c>
      <c r="J79" s="12">
        <f t="shared" si="15"/>
        <v>6275.1015739543645</v>
      </c>
      <c r="K79" s="12">
        <f t="shared" si="10"/>
        <v>5.0050886911792993</v>
      </c>
    </row>
    <row r="80" spans="1:11" x14ac:dyDescent="0.15">
      <c r="A80" s="9">
        <v>44562</v>
      </c>
      <c r="B80" s="8">
        <v>1629.3</v>
      </c>
      <c r="C80" s="11">
        <f t="shared" si="12"/>
        <v>1673.8973337238976</v>
      </c>
      <c r="D80" s="11">
        <f t="shared" si="13"/>
        <v>73.888231228199018</v>
      </c>
      <c r="E80" s="11">
        <f t="shared" si="14"/>
        <v>1718.4946674477953</v>
      </c>
      <c r="F80" s="11"/>
      <c r="G80" s="11"/>
      <c r="H80" s="12">
        <f t="shared" si="9"/>
        <v>-89.194667447795382</v>
      </c>
      <c r="I80" s="12">
        <f t="shared" si="11"/>
        <v>89.194667447795382</v>
      </c>
      <c r="J80" s="12">
        <f t="shared" si="15"/>
        <v>7955.6887011228091</v>
      </c>
      <c r="K80" s="12">
        <f t="shared" si="10"/>
        <v>5.4744164639903881</v>
      </c>
    </row>
    <row r="81" spans="1:11" x14ac:dyDescent="0.15">
      <c r="A81" s="9">
        <v>44593</v>
      </c>
      <c r="B81" s="8">
        <v>1752.4</v>
      </c>
      <c r="C81" s="11">
        <f t="shared" si="12"/>
        <v>1750.0927824760483</v>
      </c>
      <c r="D81" s="11">
        <f t="shared" si="13"/>
        <v>75.04183999017485</v>
      </c>
      <c r="E81" s="11">
        <f t="shared" si="14"/>
        <v>1747.7855649520966</v>
      </c>
      <c r="F81" s="11"/>
      <c r="G81" s="11"/>
      <c r="H81" s="12">
        <f t="shared" si="9"/>
        <v>4.6144350479034983</v>
      </c>
      <c r="I81" s="12">
        <f t="shared" si="11"/>
        <v>4.6144350479034983</v>
      </c>
      <c r="J81" s="12">
        <f t="shared" si="15"/>
        <v>21.293010811320162</v>
      </c>
      <c r="K81" s="12">
        <f t="shared" si="10"/>
        <v>0.26332087696322176</v>
      </c>
    </row>
    <row r="82" spans="1:11" x14ac:dyDescent="0.15">
      <c r="A82" s="9">
        <v>44621</v>
      </c>
      <c r="B82" s="8">
        <v>1801.2</v>
      </c>
      <c r="C82" s="11">
        <f t="shared" si="12"/>
        <v>1813.1673112331116</v>
      </c>
      <c r="D82" s="11">
        <f t="shared" si="13"/>
        <v>69.058184373619056</v>
      </c>
      <c r="E82" s="11">
        <f t="shared" si="14"/>
        <v>1825.1346224662232</v>
      </c>
      <c r="F82" s="11"/>
      <c r="G82" s="11"/>
      <c r="H82" s="12">
        <f t="shared" si="9"/>
        <v>-23.934622466223118</v>
      </c>
      <c r="I82" s="12">
        <f t="shared" si="11"/>
        <v>23.934622466223118</v>
      </c>
      <c r="J82" s="12">
        <f t="shared" si="15"/>
        <v>572.8661526006324</v>
      </c>
      <c r="K82" s="12">
        <f t="shared" si="10"/>
        <v>1.3288153712093669</v>
      </c>
    </row>
    <row r="83" spans="1:11" x14ac:dyDescent="0.15">
      <c r="A83" s="9">
        <v>44652</v>
      </c>
      <c r="B83" s="8">
        <v>1800.1</v>
      </c>
      <c r="C83" s="11">
        <f t="shared" si="12"/>
        <v>1841.1627478033652</v>
      </c>
      <c r="D83" s="11">
        <f t="shared" si="13"/>
        <v>48.526810471936308</v>
      </c>
      <c r="E83" s="11">
        <f t="shared" si="14"/>
        <v>1882.2254956067306</v>
      </c>
      <c r="F83" s="11"/>
      <c r="G83" s="11"/>
      <c r="H83" s="12">
        <f t="shared" si="9"/>
        <v>-82.125495606730738</v>
      </c>
      <c r="I83" s="12">
        <f t="shared" si="11"/>
        <v>82.125495606730738</v>
      </c>
      <c r="J83" s="12">
        <f t="shared" si="15"/>
        <v>6744.5970286511492</v>
      </c>
      <c r="K83" s="12">
        <f t="shared" si="10"/>
        <v>4.5622740740364831</v>
      </c>
    </row>
    <row r="84" spans="1:11" x14ac:dyDescent="0.15">
      <c r="A84" s="9">
        <v>44682</v>
      </c>
      <c r="B84" s="8">
        <v>1843.7</v>
      </c>
      <c r="C84" s="11">
        <f t="shared" si="12"/>
        <v>1866.6947791376508</v>
      </c>
      <c r="D84" s="11">
        <f t="shared" si="13"/>
        <v>37.029420903110974</v>
      </c>
      <c r="E84" s="11">
        <f t="shared" si="14"/>
        <v>1889.6895582753016</v>
      </c>
      <c r="F84" s="11"/>
      <c r="G84" s="11"/>
      <c r="H84" s="12">
        <f t="shared" si="9"/>
        <v>-45.989558275301533</v>
      </c>
      <c r="I84" s="12">
        <f t="shared" si="11"/>
        <v>45.989558275301533</v>
      </c>
      <c r="J84" s="12">
        <f t="shared" si="15"/>
        <v>2115.0394703573556</v>
      </c>
      <c r="K84" s="12">
        <f t="shared" si="10"/>
        <v>2.4944165686012654</v>
      </c>
    </row>
    <row r="85" spans="1:11" x14ac:dyDescent="0.15">
      <c r="A85" s="9">
        <v>44713</v>
      </c>
      <c r="B85" s="8">
        <v>1851.2</v>
      </c>
      <c r="C85" s="11">
        <f t="shared" si="12"/>
        <v>1877.4621000203811</v>
      </c>
      <c r="D85" s="11">
        <f t="shared" si="13"/>
        <v>23.89837089292061</v>
      </c>
      <c r="E85" s="11">
        <f t="shared" si="14"/>
        <v>1903.7242000407618</v>
      </c>
      <c r="F85" s="11"/>
      <c r="G85" s="11"/>
      <c r="H85" s="12">
        <f t="shared" si="9"/>
        <v>-52.524200040761798</v>
      </c>
      <c r="I85" s="12">
        <f t="shared" si="11"/>
        <v>52.524200040761798</v>
      </c>
      <c r="J85" s="12">
        <f t="shared" si="15"/>
        <v>2758.7915899219615</v>
      </c>
      <c r="K85" s="12">
        <f t="shared" si="10"/>
        <v>2.8373055337490167</v>
      </c>
    </row>
    <row r="86" spans="1:11" x14ac:dyDescent="0.15">
      <c r="A86" s="9">
        <v>44743</v>
      </c>
      <c r="B86" s="8">
        <v>1870.1</v>
      </c>
      <c r="C86" s="11">
        <f t="shared" si="12"/>
        <v>1885.7302354566509</v>
      </c>
      <c r="D86" s="11">
        <f t="shared" si="13"/>
        <v>16.083253164595234</v>
      </c>
      <c r="E86" s="11">
        <f t="shared" si="14"/>
        <v>1901.3604709133017</v>
      </c>
      <c r="F86" s="11"/>
      <c r="G86" s="11"/>
      <c r="H86" s="12">
        <f t="shared" si="9"/>
        <v>-31.260470913301788</v>
      </c>
      <c r="I86" s="12">
        <f t="shared" si="11"/>
        <v>31.260470913301788</v>
      </c>
      <c r="J86" s="12">
        <f t="shared" si="15"/>
        <v>977.21704172138709</v>
      </c>
      <c r="K86" s="12">
        <f t="shared" si="10"/>
        <v>1.6715935465109775</v>
      </c>
    </row>
    <row r="87" spans="1:11" x14ac:dyDescent="0.15">
      <c r="A87" s="9">
        <v>44774</v>
      </c>
      <c r="B87" s="8">
        <v>1893.2</v>
      </c>
      <c r="C87" s="11">
        <f t="shared" si="12"/>
        <v>1897.5067443106232</v>
      </c>
      <c r="D87" s="11">
        <f t="shared" si="13"/>
        <v>13.92988100928374</v>
      </c>
      <c r="E87" s="11">
        <f t="shared" si="14"/>
        <v>1901.8134886212461</v>
      </c>
      <c r="F87" s="11"/>
      <c r="G87" s="11"/>
      <c r="H87" s="12">
        <f t="shared" si="9"/>
        <v>-8.613488621246006</v>
      </c>
      <c r="I87" s="12">
        <f t="shared" si="11"/>
        <v>8.613488621246006</v>
      </c>
      <c r="J87" s="12">
        <f t="shared" si="15"/>
        <v>74.192186228334421</v>
      </c>
      <c r="K87" s="12">
        <f t="shared" si="10"/>
        <v>0.45496981941929043</v>
      </c>
    </row>
    <row r="88" spans="1:11" x14ac:dyDescent="0.15">
      <c r="A88" s="9">
        <v>44805</v>
      </c>
      <c r="B88" s="8">
        <v>1887.9</v>
      </c>
      <c r="C88" s="11">
        <f t="shared" si="12"/>
        <v>1899.6683126599535</v>
      </c>
      <c r="D88" s="11">
        <f t="shared" si="13"/>
        <v>8.0457246793070247</v>
      </c>
      <c r="E88" s="11">
        <f t="shared" si="14"/>
        <v>1911.4366253199069</v>
      </c>
      <c r="F88" s="11"/>
      <c r="G88" s="11"/>
      <c r="H88" s="12">
        <f t="shared" si="9"/>
        <v>-23.536625319906761</v>
      </c>
      <c r="I88" s="12">
        <f t="shared" si="11"/>
        <v>23.536625319906761</v>
      </c>
      <c r="J88" s="12">
        <f t="shared" si="15"/>
        <v>553.97273144967608</v>
      </c>
      <c r="K88" s="12">
        <f t="shared" si="10"/>
        <v>1.2467093235821156</v>
      </c>
    </row>
    <row r="89" spans="1:11" x14ac:dyDescent="0.15">
      <c r="A89" s="9">
        <v>44835</v>
      </c>
      <c r="B89" s="8">
        <v>1895.8</v>
      </c>
      <c r="C89" s="11">
        <f t="shared" si="12"/>
        <v>1901.7570186696303</v>
      </c>
      <c r="D89" s="11">
        <f t="shared" si="13"/>
        <v>5.0672153444919115</v>
      </c>
      <c r="E89" s="11">
        <f t="shared" si="14"/>
        <v>1907.7140373392606</v>
      </c>
      <c r="F89" s="11"/>
      <c r="G89" s="11"/>
      <c r="H89" s="12">
        <f t="shared" si="9"/>
        <v>-11.914037339260631</v>
      </c>
      <c r="I89" s="12">
        <f t="shared" si="11"/>
        <v>11.914037339260631</v>
      </c>
      <c r="J89" s="12">
        <f t="shared" si="15"/>
        <v>141.94428572129652</v>
      </c>
      <c r="K89" s="12">
        <f t="shared" si="10"/>
        <v>0.62844378833530079</v>
      </c>
    </row>
    <row r="90" spans="1:11" x14ac:dyDescent="0.15">
      <c r="A90" s="9">
        <v>44866</v>
      </c>
      <c r="B90" s="8">
        <v>1908.3</v>
      </c>
      <c r="C90" s="11">
        <f t="shared" si="12"/>
        <v>1907.562117007061</v>
      </c>
      <c r="D90" s="11">
        <f t="shared" si="13"/>
        <v>5.4361568409613374</v>
      </c>
      <c r="E90" s="11">
        <f t="shared" si="14"/>
        <v>1906.8242340141221</v>
      </c>
      <c r="F90" s="11"/>
      <c r="G90" s="11"/>
      <c r="H90" s="12">
        <f t="shared" si="9"/>
        <v>1.4757659858778425</v>
      </c>
      <c r="I90" s="12">
        <f t="shared" si="11"/>
        <v>1.4757659858778425</v>
      </c>
      <c r="J90" s="12">
        <f t="shared" si="15"/>
        <v>2.1778852450740005</v>
      </c>
      <c r="K90" s="12">
        <f t="shared" si="10"/>
        <v>7.733406623056345E-2</v>
      </c>
    </row>
    <row r="91" spans="1:11" x14ac:dyDescent="0.15">
      <c r="A91" s="9">
        <v>44896</v>
      </c>
      <c r="B91" s="8">
        <v>1772.8</v>
      </c>
      <c r="C91" s="11">
        <f t="shared" si="12"/>
        <v>1842.8991369240111</v>
      </c>
      <c r="D91" s="11">
        <f t="shared" si="13"/>
        <v>-29.613411621044275</v>
      </c>
      <c r="E91" s="11">
        <f t="shared" si="14"/>
        <v>1912.9982738480223</v>
      </c>
      <c r="F91" s="11"/>
      <c r="G91" s="11"/>
      <c r="H91" s="12">
        <f t="shared" si="9"/>
        <v>-140.19827384802238</v>
      </c>
      <c r="I91" s="12">
        <f t="shared" si="11"/>
        <v>140.19827384802238</v>
      </c>
      <c r="J91" s="12">
        <f t="shared" si="15"/>
        <v>19655.555989965076</v>
      </c>
      <c r="K91" s="12">
        <f t="shared" si="10"/>
        <v>7.9082961331240069</v>
      </c>
    </row>
    <row r="92" spans="1:11" x14ac:dyDescent="0.15">
      <c r="A92" s="16">
        <v>44927</v>
      </c>
      <c r="B92" s="8">
        <v>1901.5</v>
      </c>
      <c r="C92" s="11">
        <f t="shared" si="12"/>
        <v>1857.3928626514835</v>
      </c>
      <c r="D92" s="11">
        <f t="shared" si="13"/>
        <v>-7.5598429467859685</v>
      </c>
      <c r="E92" s="15">
        <f t="shared" si="14"/>
        <v>1813.285725302967</v>
      </c>
      <c r="F92" s="11"/>
      <c r="G92" s="11"/>
      <c r="H92" s="12">
        <f t="shared" si="9"/>
        <v>88.214274697033034</v>
      </c>
      <c r="I92" s="12">
        <f t="shared" si="11"/>
        <v>88.214274697033034</v>
      </c>
      <c r="J92" s="12">
        <f t="shared" si="15"/>
        <v>7781.7582603236024</v>
      </c>
      <c r="K92" s="12">
        <f t="shared" si="10"/>
        <v>4.6391940413901152</v>
      </c>
    </row>
    <row r="93" spans="1:11" x14ac:dyDescent="0.15">
      <c r="A93" s="9">
        <v>44958</v>
      </c>
      <c r="B93" s="8">
        <v>1882.1</v>
      </c>
      <c r="C93" s="11">
        <f t="shared" si="12"/>
        <v>1865.9665098523487</v>
      </c>
      <c r="D93" s="11">
        <f t="shared" si="13"/>
        <v>0.5069021270396421</v>
      </c>
      <c r="E93" s="11">
        <f t="shared" si="14"/>
        <v>1849.8330197046976</v>
      </c>
      <c r="F93" s="11"/>
      <c r="G93" s="11"/>
      <c r="H93" s="12">
        <f t="shared" si="9"/>
        <v>32.266980295302346</v>
      </c>
      <c r="I93" s="12">
        <f t="shared" si="11"/>
        <v>32.266980295302346</v>
      </c>
      <c r="J93" s="12">
        <f t="shared" si="15"/>
        <v>1041.1580173774298</v>
      </c>
      <c r="K93" s="12">
        <f t="shared" si="10"/>
        <v>1.7144137025292148</v>
      </c>
    </row>
    <row r="94" spans="1:11" x14ac:dyDescent="0.15">
      <c r="A94" s="9">
        <v>44986</v>
      </c>
      <c r="B94" s="8">
        <v>1896.2</v>
      </c>
      <c r="C94" s="11">
        <f t="shared" si="12"/>
        <v>1881.3367059896941</v>
      </c>
      <c r="D94" s="11">
        <f t="shared" si="13"/>
        <v>7.9385491321925077</v>
      </c>
      <c r="E94" s="11">
        <f t="shared" si="14"/>
        <v>1866.4734119793884</v>
      </c>
      <c r="F94" s="11"/>
      <c r="G94" s="11"/>
      <c r="H94" s="12">
        <f t="shared" si="9"/>
        <v>29.726588020611644</v>
      </c>
      <c r="I94" s="12">
        <f t="shared" si="11"/>
        <v>29.726588020611644</v>
      </c>
      <c r="J94" s="12">
        <f t="shared" si="15"/>
        <v>883.67003534717162</v>
      </c>
      <c r="K94" s="12">
        <f t="shared" si="10"/>
        <v>1.5676926495418015</v>
      </c>
    </row>
    <row r="95" spans="1:11" x14ac:dyDescent="0.15">
      <c r="A95" s="9">
        <v>45017</v>
      </c>
      <c r="B95" s="8">
        <v>1915.5</v>
      </c>
      <c r="C95" s="11">
        <f t="shared" si="12"/>
        <v>1902.3876275609432</v>
      </c>
      <c r="D95" s="11">
        <f t="shared" si="13"/>
        <v>14.494735351720799</v>
      </c>
      <c r="E95" s="11">
        <f t="shared" si="14"/>
        <v>1889.2752551218866</v>
      </c>
      <c r="F95" s="11"/>
      <c r="G95" s="11"/>
      <c r="H95" s="12">
        <f t="shared" si="9"/>
        <v>26.22474487811337</v>
      </c>
      <c r="I95" s="12">
        <f t="shared" si="11"/>
        <v>26.22474487811337</v>
      </c>
      <c r="J95" s="12">
        <f t="shared" si="15"/>
        <v>687.73724392213342</v>
      </c>
      <c r="K95" s="12">
        <f t="shared" si="10"/>
        <v>1.3690809124569758</v>
      </c>
    </row>
    <row r="96" spans="1:11" x14ac:dyDescent="0.15">
      <c r="A96" s="9">
        <v>45047</v>
      </c>
      <c r="B96" s="8">
        <v>1904.8</v>
      </c>
      <c r="C96" s="11">
        <f t="shared" si="12"/>
        <v>1910.8411814563319</v>
      </c>
      <c r="D96" s="11">
        <f t="shared" si="13"/>
        <v>11.474144623554761</v>
      </c>
      <c r="E96" s="11">
        <f t="shared" si="14"/>
        <v>1916.8823629126639</v>
      </c>
      <c r="F96" s="11"/>
      <c r="G96" s="11"/>
      <c r="H96" s="12">
        <f t="shared" si="9"/>
        <v>-12.082362912663939</v>
      </c>
      <c r="I96" s="12">
        <f t="shared" si="11"/>
        <v>12.082362912663939</v>
      </c>
      <c r="J96" s="12">
        <f t="shared" si="15"/>
        <v>145.98349355331703</v>
      </c>
      <c r="K96" s="12">
        <f t="shared" si="10"/>
        <v>0.63431136668752308</v>
      </c>
    </row>
    <row r="97" spans="1:11" x14ac:dyDescent="0.15">
      <c r="A97" s="9">
        <v>45078</v>
      </c>
      <c r="B97" s="8">
        <v>1814.1</v>
      </c>
      <c r="C97" s="11">
        <f t="shared" si="12"/>
        <v>1868.2076630399433</v>
      </c>
      <c r="D97" s="11">
        <f t="shared" si="13"/>
        <v>-15.579686896416918</v>
      </c>
      <c r="E97" s="11">
        <f t="shared" si="14"/>
        <v>1922.3153260798867</v>
      </c>
      <c r="F97" s="11">
        <f>E97</f>
        <v>1922.3153260798867</v>
      </c>
      <c r="G97" s="34" t="s">
        <v>88</v>
      </c>
      <c r="H97" s="12">
        <f t="shared" si="9"/>
        <v>-108.21532607988684</v>
      </c>
      <c r="I97" s="12">
        <f>ABS(H97)</f>
        <v>108.21532607988684</v>
      </c>
      <c r="J97" s="12">
        <f>H97*H97</f>
        <v>11710.556798576235</v>
      </c>
      <c r="K97" s="12">
        <f t="shared" si="10"/>
        <v>5.96523488671445</v>
      </c>
    </row>
    <row r="98" spans="1:11" x14ac:dyDescent="0.15">
      <c r="A98" s="9">
        <v>45108</v>
      </c>
      <c r="C98" s="8"/>
      <c r="D98" s="8"/>
      <c r="E98" s="11"/>
      <c r="F98" s="11">
        <f>$C$97+(G98*$D$97)</f>
        <v>1852.6279761435264</v>
      </c>
      <c r="G98" s="1">
        <v>1</v>
      </c>
      <c r="H98" s="12"/>
    </row>
    <row r="99" spans="1:11" x14ac:dyDescent="0.15">
      <c r="A99" s="9">
        <v>45139</v>
      </c>
      <c r="C99" s="8"/>
      <c r="D99" s="8"/>
      <c r="E99" s="11"/>
      <c r="F99" s="11">
        <f t="shared" ref="F99:F109" si="16">$C$97+(G99*$D$97)</f>
        <v>1837.0482892471096</v>
      </c>
      <c r="G99" s="1">
        <v>2</v>
      </c>
      <c r="H99" s="12"/>
    </row>
    <row r="100" spans="1:11" x14ac:dyDescent="0.15">
      <c r="A100" s="9">
        <v>45170</v>
      </c>
      <c r="C100" s="8"/>
      <c r="D100" s="8"/>
      <c r="E100" s="11"/>
      <c r="F100" s="11">
        <f t="shared" si="16"/>
        <v>1821.4686023506927</v>
      </c>
      <c r="G100" s="1">
        <v>3</v>
      </c>
      <c r="H100" s="12"/>
    </row>
    <row r="101" spans="1:11" x14ac:dyDescent="0.15">
      <c r="A101" s="16">
        <v>45200</v>
      </c>
      <c r="C101" s="8"/>
      <c r="D101" s="8"/>
      <c r="E101" s="11"/>
      <c r="F101" s="15">
        <f t="shared" si="16"/>
        <v>1805.8889154542755</v>
      </c>
      <c r="G101" s="1">
        <v>4</v>
      </c>
      <c r="H101" s="12"/>
      <c r="I101" s="28" t="s">
        <v>48</v>
      </c>
      <c r="J101" s="28" t="s">
        <v>49</v>
      </c>
      <c r="K101" s="28" t="s">
        <v>50</v>
      </c>
    </row>
    <row r="102" spans="1:11" x14ac:dyDescent="0.15">
      <c r="A102" s="9">
        <v>45231</v>
      </c>
      <c r="C102" s="8"/>
      <c r="D102" s="8"/>
      <c r="E102" s="11"/>
      <c r="F102" s="11">
        <f t="shared" si="16"/>
        <v>1790.3092285578587</v>
      </c>
      <c r="G102" s="1">
        <v>5</v>
      </c>
      <c r="H102" s="12"/>
      <c r="I102" s="24">
        <f>AVERAGE(I3:I97)</f>
        <v>57.284869727310671</v>
      </c>
      <c r="J102" s="14">
        <f>AVERAGE(J3:J97)</f>
        <v>11860.5320681104</v>
      </c>
      <c r="K102" s="24">
        <f>AVERAGE(K3:K97)</f>
        <v>3.5879575763695368</v>
      </c>
    </row>
    <row r="103" spans="1:11" x14ac:dyDescent="0.15">
      <c r="A103" s="9">
        <v>45261</v>
      </c>
      <c r="C103" s="8"/>
      <c r="D103" s="8"/>
      <c r="E103" s="11"/>
      <c r="F103" s="11">
        <f t="shared" si="16"/>
        <v>1774.7295416614418</v>
      </c>
      <c r="G103" s="1">
        <v>6</v>
      </c>
      <c r="H103" s="12"/>
      <c r="J103" s="28" t="s">
        <v>51</v>
      </c>
    </row>
    <row r="104" spans="1:11" x14ac:dyDescent="0.15">
      <c r="A104" s="9">
        <v>45292</v>
      </c>
      <c r="C104" s="8"/>
      <c r="D104" s="8"/>
      <c r="E104" s="11"/>
      <c r="F104" s="11">
        <f t="shared" si="16"/>
        <v>1759.1498547650249</v>
      </c>
      <c r="G104" s="1">
        <v>7</v>
      </c>
      <c r="H104" s="12"/>
      <c r="J104" s="14">
        <f>SQRT(J102)</f>
        <v>108.90606993235225</v>
      </c>
    </row>
    <row r="105" spans="1:11" x14ac:dyDescent="0.15">
      <c r="A105" s="9">
        <v>45323</v>
      </c>
      <c r="C105" s="8"/>
      <c r="D105" s="8"/>
      <c r="E105" s="11"/>
      <c r="F105" s="11">
        <f t="shared" si="16"/>
        <v>1743.570167868608</v>
      </c>
      <c r="G105" s="1">
        <v>8</v>
      </c>
      <c r="H105" s="12"/>
    </row>
    <row r="106" spans="1:11" x14ac:dyDescent="0.15">
      <c r="A106" s="9">
        <v>45352</v>
      </c>
      <c r="C106" s="8"/>
      <c r="D106" s="8"/>
      <c r="E106" s="11"/>
      <c r="F106" s="11">
        <f t="shared" si="16"/>
        <v>1727.9904809721911</v>
      </c>
      <c r="G106" s="1">
        <v>9</v>
      </c>
      <c r="H106" s="12"/>
    </row>
    <row r="107" spans="1:11" x14ac:dyDescent="0.15">
      <c r="A107" s="9">
        <v>45383</v>
      </c>
      <c r="C107" s="8"/>
      <c r="D107" s="8"/>
      <c r="E107" s="11"/>
      <c r="F107" s="11">
        <f t="shared" si="16"/>
        <v>1712.4107940757742</v>
      </c>
      <c r="G107" s="1">
        <v>10</v>
      </c>
      <c r="H107" s="12"/>
    </row>
    <row r="108" spans="1:11" x14ac:dyDescent="0.15">
      <c r="A108" s="9">
        <v>45413</v>
      </c>
      <c r="C108" s="8"/>
      <c r="D108" s="8"/>
      <c r="E108" s="11"/>
      <c r="F108" s="11">
        <f t="shared" si="16"/>
        <v>1696.8311071793573</v>
      </c>
      <c r="G108" s="1">
        <v>11</v>
      </c>
      <c r="H108" s="12"/>
    </row>
    <row r="109" spans="1:11" x14ac:dyDescent="0.15">
      <c r="A109" s="16">
        <v>45444</v>
      </c>
      <c r="C109" s="8"/>
      <c r="D109" s="8"/>
      <c r="E109" s="11"/>
      <c r="F109" s="15">
        <f t="shared" si="16"/>
        <v>1681.2514202829402</v>
      </c>
      <c r="G109" s="1">
        <v>12</v>
      </c>
      <c r="H109" s="12"/>
    </row>
  </sheetData>
  <pageMargins left="0.7" right="0.7" top="0.75" bottom="0.75" header="0.3" footer="0.3"/>
  <pageSetup paperSize="0" orientation="portrait" horizontalDpi="0" verticalDpi="0" copies="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FF5C2-470E-334D-9C7E-8B482CC31E72}">
  <dimension ref="A1:U109"/>
  <sheetViews>
    <sheetView zoomScaleNormal="100" workbookViewId="0">
      <pane xSplit="1" ySplit="1" topLeftCell="H4" activePane="bottomRight" state="frozen"/>
      <selection pane="topRight" activeCell="B1" sqref="B1"/>
      <selection pane="bottomLeft" activeCell="A11" sqref="A11"/>
      <selection pane="bottomRight" activeCell="P24" sqref="P24"/>
    </sheetView>
  </sheetViews>
  <sheetFormatPr baseColWidth="10" defaultColWidth="14.6640625" defaultRowHeight="11" x14ac:dyDescent="0.15"/>
  <cols>
    <col min="1" max="1" width="14.6640625" style="1"/>
    <col min="2" max="2" width="17" style="1" customWidth="1"/>
    <col min="3" max="3" width="12.1640625" style="1" customWidth="1"/>
    <col min="4" max="4" width="11.33203125" style="1" customWidth="1"/>
    <col min="5" max="5" width="16.33203125" style="1" customWidth="1"/>
    <col min="6" max="6" width="15.83203125" style="1" bestFit="1" customWidth="1"/>
    <col min="7" max="7" width="7" style="1" customWidth="1"/>
    <col min="8" max="10" width="14.6640625" style="1"/>
    <col min="11" max="11" width="17.5" style="1" bestFit="1" customWidth="1"/>
    <col min="12" max="16384" width="14.6640625" style="1"/>
  </cols>
  <sheetData>
    <row r="1" spans="1:21" s="33" customFormat="1" ht="23" customHeight="1" x14ac:dyDescent="0.2">
      <c r="A1" s="31" t="s">
        <v>76</v>
      </c>
      <c r="B1" s="31" t="s">
        <v>87</v>
      </c>
      <c r="C1" s="31" t="s">
        <v>54</v>
      </c>
      <c r="D1" s="31" t="s">
        <v>35</v>
      </c>
      <c r="E1" s="32" t="s">
        <v>85</v>
      </c>
      <c r="F1" s="32" t="s">
        <v>86</v>
      </c>
      <c r="G1" s="32"/>
      <c r="H1" s="32" t="s">
        <v>44</v>
      </c>
      <c r="I1" s="32" t="s">
        <v>45</v>
      </c>
      <c r="J1" s="32" t="s">
        <v>46</v>
      </c>
      <c r="K1" s="32" t="s">
        <v>47</v>
      </c>
    </row>
    <row r="2" spans="1:21" x14ac:dyDescent="0.15">
      <c r="A2" s="9">
        <v>42186</v>
      </c>
      <c r="B2" s="8">
        <v>1585.7</v>
      </c>
      <c r="C2" s="11">
        <f>B2</f>
        <v>1585.7</v>
      </c>
      <c r="D2" s="11">
        <f>B3-B2</f>
        <v>0.59999999999990905</v>
      </c>
      <c r="E2" s="11"/>
      <c r="F2" s="11"/>
      <c r="G2" s="11"/>
      <c r="H2" s="12"/>
      <c r="I2" s="12"/>
      <c r="J2" s="12"/>
      <c r="K2" s="12"/>
      <c r="N2" s="36" t="s">
        <v>43</v>
      </c>
      <c r="O2" s="24">
        <v>0.70002896749851806</v>
      </c>
    </row>
    <row r="3" spans="1:21" x14ac:dyDescent="0.15">
      <c r="A3" s="9">
        <v>42217</v>
      </c>
      <c r="B3" s="8">
        <v>1586.3</v>
      </c>
      <c r="C3" s="11">
        <f>$O$2*B3+(1-$O$2)*(C2+D2)</f>
        <v>1586.3000000000002</v>
      </c>
      <c r="D3" s="11">
        <f>$O$3*(C3-C2)+(1-$O$3)*D2</f>
        <v>0.59999999999990905</v>
      </c>
      <c r="E3" s="11">
        <f>C2+D2</f>
        <v>1586.3</v>
      </c>
      <c r="F3" s="11"/>
      <c r="G3" s="11"/>
      <c r="H3" s="12">
        <f t="shared" ref="H3:H66" si="0">B3-E3</f>
        <v>0</v>
      </c>
      <c r="I3" s="12">
        <f t="shared" ref="I3:I66" si="1">ABS(H3)</f>
        <v>0</v>
      </c>
      <c r="J3" s="12">
        <f>H3*H3</f>
        <v>0</v>
      </c>
      <c r="K3" s="12">
        <f t="shared" ref="K3:K66" si="2">(I3/B3)*100</f>
        <v>0</v>
      </c>
      <c r="N3" s="36" t="s">
        <v>52</v>
      </c>
      <c r="O3" s="24">
        <v>0</v>
      </c>
    </row>
    <row r="4" spans="1:21" x14ac:dyDescent="0.15">
      <c r="A4" s="9">
        <v>42248</v>
      </c>
      <c r="B4" s="8">
        <v>1541.9</v>
      </c>
      <c r="C4" s="11">
        <f t="shared" ref="C4:C67" si="3">$O$2*B4+(1-$O$2)*(C3+D3)</f>
        <v>1555.3986964625667</v>
      </c>
      <c r="D4" s="11">
        <f t="shared" ref="D4:D67" si="4">$O$3*(C4-C3)+(1-$O$3)*D3</f>
        <v>0.59999999999990905</v>
      </c>
      <c r="E4" s="11">
        <f t="shared" ref="E4:E67" si="5">C3+D3</f>
        <v>1586.9</v>
      </c>
      <c r="F4" s="11"/>
      <c r="G4" s="11"/>
      <c r="H4" s="12">
        <f t="shared" si="0"/>
        <v>-45</v>
      </c>
      <c r="I4" s="12">
        <f t="shared" si="1"/>
        <v>45</v>
      </c>
      <c r="J4" s="12">
        <f t="shared" ref="J4:J67" si="6">H4*H4</f>
        <v>2025</v>
      </c>
      <c r="K4" s="12">
        <f t="shared" si="2"/>
        <v>2.9184772034502884</v>
      </c>
    </row>
    <row r="5" spans="1:21" x14ac:dyDescent="0.15">
      <c r="A5" s="9">
        <v>42278</v>
      </c>
      <c r="B5" s="8">
        <v>1591.9</v>
      </c>
      <c r="C5" s="11">
        <f t="shared" si="3"/>
        <v>1581.1306489097269</v>
      </c>
      <c r="D5" s="11">
        <f t="shared" si="4"/>
        <v>0.59999999999990905</v>
      </c>
      <c r="E5" s="11">
        <f t="shared" si="5"/>
        <v>1555.9986964625666</v>
      </c>
      <c r="F5" s="11"/>
      <c r="G5" s="11"/>
      <c r="H5" s="12">
        <f t="shared" si="0"/>
        <v>35.901303537433478</v>
      </c>
      <c r="I5" s="12">
        <f t="shared" si="1"/>
        <v>35.901303537433478</v>
      </c>
      <c r="J5" s="12">
        <f t="shared" si="6"/>
        <v>1288.9035956869336</v>
      </c>
      <c r="K5" s="12">
        <f t="shared" si="2"/>
        <v>2.2552486674686523</v>
      </c>
    </row>
    <row r="6" spans="1:21" x14ac:dyDescent="0.15">
      <c r="A6" s="9">
        <v>42309</v>
      </c>
      <c r="B6" s="8">
        <v>1590</v>
      </c>
      <c r="C6" s="11">
        <f t="shared" si="3"/>
        <v>1587.5194342153336</v>
      </c>
      <c r="D6" s="11">
        <f t="shared" si="4"/>
        <v>0.59999999999990905</v>
      </c>
      <c r="E6" s="11">
        <f t="shared" si="5"/>
        <v>1581.7306489097268</v>
      </c>
      <c r="F6" s="11"/>
      <c r="G6" s="11"/>
      <c r="H6" s="12">
        <f t="shared" si="0"/>
        <v>8.2693510902731759</v>
      </c>
      <c r="I6" s="12">
        <f t="shared" si="1"/>
        <v>8.2693510902731759</v>
      </c>
      <c r="J6" s="12">
        <f t="shared" si="6"/>
        <v>68.382167454202161</v>
      </c>
      <c r="K6" s="12">
        <f t="shared" si="2"/>
        <v>0.52008497423101741</v>
      </c>
    </row>
    <row r="7" spans="1:21" x14ac:dyDescent="0.15">
      <c r="A7" s="9">
        <v>42339</v>
      </c>
      <c r="B7" s="8">
        <v>1592.5</v>
      </c>
      <c r="C7" s="11">
        <f t="shared" si="3"/>
        <v>1591.1859571586328</v>
      </c>
      <c r="D7" s="11">
        <f t="shared" si="4"/>
        <v>0.59999999999990905</v>
      </c>
      <c r="E7" s="11">
        <f t="shared" si="5"/>
        <v>1588.1194342153335</v>
      </c>
      <c r="F7" s="11"/>
      <c r="G7" s="11"/>
      <c r="H7" s="12">
        <f t="shared" si="0"/>
        <v>4.3805657846664872</v>
      </c>
      <c r="I7" s="12">
        <f t="shared" si="1"/>
        <v>4.3805657846664872</v>
      </c>
      <c r="J7" s="12">
        <f t="shared" si="6"/>
        <v>19.189356593790716</v>
      </c>
      <c r="K7" s="12">
        <f t="shared" si="2"/>
        <v>0.27507477454734613</v>
      </c>
    </row>
    <row r="8" spans="1:21" x14ac:dyDescent="0.15">
      <c r="A8" s="9">
        <v>42370</v>
      </c>
      <c r="B8" s="8">
        <v>1610.3</v>
      </c>
      <c r="C8" s="11">
        <f t="shared" si="3"/>
        <v>1604.7463234530983</v>
      </c>
      <c r="D8" s="11">
        <f t="shared" si="4"/>
        <v>0.59999999999990905</v>
      </c>
      <c r="E8" s="11">
        <f t="shared" si="5"/>
        <v>1591.7859571586328</v>
      </c>
      <c r="F8" s="11"/>
      <c r="G8" s="11"/>
      <c r="H8" s="12">
        <f t="shared" si="0"/>
        <v>18.5140428413672</v>
      </c>
      <c r="I8" s="12">
        <f t="shared" si="1"/>
        <v>18.5140428413672</v>
      </c>
      <c r="J8" s="12">
        <f t="shared" si="6"/>
        <v>342.76978233198008</v>
      </c>
      <c r="K8" s="12">
        <f t="shared" si="2"/>
        <v>1.1497263144362664</v>
      </c>
      <c r="R8" s="1" t="s">
        <v>78</v>
      </c>
      <c r="T8" s="1" t="s">
        <v>43</v>
      </c>
      <c r="U8" s="25">
        <v>0.05</v>
      </c>
    </row>
    <row r="9" spans="1:21" x14ac:dyDescent="0.15">
      <c r="A9" s="9">
        <v>42401</v>
      </c>
      <c r="B9" s="8">
        <v>1591.6</v>
      </c>
      <c r="C9" s="11">
        <f t="shared" si="3"/>
        <v>1595.7234988393252</v>
      </c>
      <c r="D9" s="11">
        <f t="shared" si="4"/>
        <v>0.59999999999990905</v>
      </c>
      <c r="E9" s="11">
        <f t="shared" si="5"/>
        <v>1605.3463234530982</v>
      </c>
      <c r="F9" s="11"/>
      <c r="G9" s="11"/>
      <c r="H9" s="12">
        <f t="shared" si="0"/>
        <v>-13.746323453098285</v>
      </c>
      <c r="I9" s="12">
        <f t="shared" si="1"/>
        <v>13.746323453098285</v>
      </c>
      <c r="J9" s="12">
        <f t="shared" si="6"/>
        <v>188.96140847719994</v>
      </c>
      <c r="K9" s="12">
        <f t="shared" si="2"/>
        <v>0.86367953336882919</v>
      </c>
    </row>
    <row r="10" spans="1:21" x14ac:dyDescent="0.15">
      <c r="A10" s="9">
        <v>42430</v>
      </c>
      <c r="B10" s="8">
        <v>1584.6</v>
      </c>
      <c r="C10" s="11">
        <f t="shared" si="3"/>
        <v>1588.1167100513621</v>
      </c>
      <c r="D10" s="11">
        <f t="shared" si="4"/>
        <v>0.59999999999990905</v>
      </c>
      <c r="E10" s="11">
        <f t="shared" si="5"/>
        <v>1596.3234988393251</v>
      </c>
      <c r="F10" s="11"/>
      <c r="G10" s="11"/>
      <c r="H10" s="12">
        <f t="shared" si="0"/>
        <v>-11.723498839325202</v>
      </c>
      <c r="I10" s="12">
        <f t="shared" si="1"/>
        <v>11.723498839325202</v>
      </c>
      <c r="J10" s="12">
        <f t="shared" si="6"/>
        <v>137.44042503565936</v>
      </c>
      <c r="K10" s="12">
        <f t="shared" si="2"/>
        <v>0.73983963393444419</v>
      </c>
      <c r="R10" s="26" t="s">
        <v>80</v>
      </c>
      <c r="S10" s="26" t="s">
        <v>79</v>
      </c>
      <c r="T10" s="26" t="s">
        <v>81</v>
      </c>
      <c r="U10" s="26" t="s">
        <v>82</v>
      </c>
    </row>
    <row r="11" spans="1:21" x14ac:dyDescent="0.15">
      <c r="A11" s="9">
        <v>42461</v>
      </c>
      <c r="B11" s="8">
        <v>1580.8</v>
      </c>
      <c r="C11" s="11">
        <f t="shared" si="3"/>
        <v>1583.1747836881218</v>
      </c>
      <c r="D11" s="11">
        <f t="shared" si="4"/>
        <v>0.59999999999990905</v>
      </c>
      <c r="E11" s="11">
        <f t="shared" si="5"/>
        <v>1588.716710051362</v>
      </c>
      <c r="F11" s="11"/>
      <c r="G11" s="11"/>
      <c r="H11" s="12">
        <f t="shared" si="0"/>
        <v>-7.9167100513620881</v>
      </c>
      <c r="I11" s="12">
        <f t="shared" si="1"/>
        <v>7.9167100513620881</v>
      </c>
      <c r="J11" s="12">
        <f t="shared" si="6"/>
        <v>62.674298037337515</v>
      </c>
      <c r="K11" s="12">
        <f t="shared" si="2"/>
        <v>0.50080402652847222</v>
      </c>
    </row>
    <row r="12" spans="1:21" x14ac:dyDescent="0.15">
      <c r="A12" s="9">
        <v>42491</v>
      </c>
      <c r="B12" s="8">
        <v>1567.4</v>
      </c>
      <c r="C12" s="11">
        <f t="shared" si="3"/>
        <v>1572.3119607699145</v>
      </c>
      <c r="D12" s="11">
        <f t="shared" si="4"/>
        <v>0.59999999999990905</v>
      </c>
      <c r="E12" s="11">
        <f t="shared" si="5"/>
        <v>1583.7747836881217</v>
      </c>
      <c r="F12" s="11"/>
      <c r="G12" s="11"/>
      <c r="H12" s="12">
        <f t="shared" si="0"/>
        <v>-16.374783688121624</v>
      </c>
      <c r="I12" s="12">
        <f t="shared" si="1"/>
        <v>16.374783688121624</v>
      </c>
      <c r="J12" s="12">
        <f t="shared" si="6"/>
        <v>268.13354083277403</v>
      </c>
      <c r="K12" s="12">
        <f t="shared" si="2"/>
        <v>1.0447099456502249</v>
      </c>
      <c r="R12" s="1">
        <f>R11+1</f>
        <v>1</v>
      </c>
      <c r="S12" s="1">
        <f>[1]!ACF($H$3:$H$97,R12)</f>
        <v>6.9547114993361456E-2</v>
      </c>
      <c r="T12" s="1">
        <f>-U12</f>
        <v>-0.20108806190046569</v>
      </c>
      <c r="U12" s="1">
        <f>_xlfn.NORM.S.INV(1-$U$8/2)/SQRT(COUNT($H$3:$H$97))</f>
        <v>0.20108806190046569</v>
      </c>
    </row>
    <row r="13" spans="1:21" x14ac:dyDescent="0.15">
      <c r="A13" s="9">
        <v>42522</v>
      </c>
      <c r="B13" s="8">
        <v>1582.1</v>
      </c>
      <c r="C13" s="11">
        <f t="shared" si="3"/>
        <v>1579.343854385487</v>
      </c>
      <c r="D13" s="11">
        <f t="shared" si="4"/>
        <v>0.59999999999990905</v>
      </c>
      <c r="E13" s="11">
        <f t="shared" si="5"/>
        <v>1572.9119607699145</v>
      </c>
      <c r="F13" s="11"/>
      <c r="G13" s="11"/>
      <c r="H13" s="12">
        <f t="shared" si="0"/>
        <v>9.188039230085451</v>
      </c>
      <c r="I13" s="12">
        <f t="shared" si="1"/>
        <v>9.188039230085451</v>
      </c>
      <c r="J13" s="12">
        <f t="shared" si="6"/>
        <v>84.420064893589242</v>
      </c>
      <c r="K13" s="12">
        <f t="shared" si="2"/>
        <v>0.58074958789491504</v>
      </c>
      <c r="R13" s="1">
        <f t="shared" ref="R13:R35" si="7">R12+1</f>
        <v>2</v>
      </c>
      <c r="S13" s="1">
        <f>[1]!ACF($H$3:$H$97,R13)</f>
        <v>-0.17912753148475932</v>
      </c>
      <c r="T13" s="1">
        <f>-U13</f>
        <v>-0.20205834399711736</v>
      </c>
      <c r="U13" s="1">
        <f>_xlfn.NORM.S.INV(1-$U$8/2)*SQRT((1+2*SUMSQ(S$12:S12))/COUNT($H$3:$H$97))</f>
        <v>0.20205834399711736</v>
      </c>
    </row>
    <row r="14" spans="1:21" x14ac:dyDescent="0.15">
      <c r="A14" s="9">
        <v>42552</v>
      </c>
      <c r="B14" s="8">
        <v>1537.2</v>
      </c>
      <c r="C14" s="11">
        <f t="shared" si="3"/>
        <v>1550.0219181331076</v>
      </c>
      <c r="D14" s="11">
        <f t="shared" si="4"/>
        <v>0.59999999999990905</v>
      </c>
      <c r="E14" s="11">
        <f t="shared" si="5"/>
        <v>1579.9438543854869</v>
      </c>
      <c r="F14" s="11"/>
      <c r="G14" s="11"/>
      <c r="H14" s="12">
        <f t="shared" si="0"/>
        <v>-42.743854385486884</v>
      </c>
      <c r="I14" s="12">
        <f t="shared" si="1"/>
        <v>42.743854385486884</v>
      </c>
      <c r="J14" s="12">
        <f t="shared" si="6"/>
        <v>1827.0370877277064</v>
      </c>
      <c r="K14" s="12">
        <f t="shared" si="2"/>
        <v>2.7806306521914443</v>
      </c>
      <c r="R14" s="1">
        <f t="shared" si="7"/>
        <v>3</v>
      </c>
      <c r="S14" s="1">
        <f>[1]!ACF($H$3:$H$97,R14)</f>
        <v>-0.20556224055019842</v>
      </c>
      <c r="T14" s="1">
        <f t="shared" ref="T14:T35" si="8">-U14</f>
        <v>-0.20838069484455302</v>
      </c>
      <c r="U14" s="1">
        <f>_xlfn.NORM.S.INV(1-$U$8/2)*SQRT((1+2*SUMSQ(S$12:S13))/COUNT($H$3:$H$97))</f>
        <v>0.20838069484455302</v>
      </c>
    </row>
    <row r="15" spans="1:21" x14ac:dyDescent="0.15">
      <c r="A15" s="9">
        <v>42583</v>
      </c>
      <c r="B15" s="8">
        <v>1541.6</v>
      </c>
      <c r="C15" s="11">
        <f t="shared" si="3"/>
        <v>1544.3063140975319</v>
      </c>
      <c r="D15" s="11">
        <f t="shared" si="4"/>
        <v>0.59999999999990905</v>
      </c>
      <c r="E15" s="11">
        <f t="shared" si="5"/>
        <v>1550.6219181331076</v>
      </c>
      <c r="F15" s="11"/>
      <c r="G15" s="11"/>
      <c r="H15" s="12">
        <f t="shared" si="0"/>
        <v>-9.021918133107647</v>
      </c>
      <c r="I15" s="12">
        <f t="shared" si="1"/>
        <v>9.021918133107647</v>
      </c>
      <c r="J15" s="12">
        <f t="shared" si="6"/>
        <v>81.395006800496574</v>
      </c>
      <c r="K15" s="12">
        <f t="shared" si="2"/>
        <v>0.58523080780407677</v>
      </c>
      <c r="R15" s="1">
        <f t="shared" si="7"/>
        <v>4</v>
      </c>
      <c r="S15" s="1">
        <f>[1]!ACF($H$3:$H$97,R15)</f>
        <v>5.093676447485848E-3</v>
      </c>
      <c r="T15" s="1">
        <f t="shared" si="8"/>
        <v>-0.21642518888925075</v>
      </c>
      <c r="U15" s="1">
        <f>_xlfn.NORM.S.INV(1-$U$8/2)*SQRT((1+2*SUMSQ(S$12:S14))/COUNT($H$3:$H$97))</f>
        <v>0.21642518888925075</v>
      </c>
    </row>
    <row r="16" spans="1:21" x14ac:dyDescent="0.15">
      <c r="A16" s="9">
        <v>42614</v>
      </c>
      <c r="B16" s="8">
        <v>1537.8</v>
      </c>
      <c r="C16" s="11">
        <f t="shared" si="3"/>
        <v>1539.9316883771164</v>
      </c>
      <c r="D16" s="11">
        <f t="shared" si="4"/>
        <v>0.59999999999990905</v>
      </c>
      <c r="E16" s="11">
        <f t="shared" si="5"/>
        <v>1544.9063140975318</v>
      </c>
      <c r="F16" s="11"/>
      <c r="G16" s="11"/>
      <c r="H16" s="12">
        <f t="shared" si="0"/>
        <v>-7.106314097531822</v>
      </c>
      <c r="I16" s="12">
        <f t="shared" si="1"/>
        <v>7.106314097531822</v>
      </c>
      <c r="J16" s="12">
        <f t="shared" si="6"/>
        <v>50.499700052779517</v>
      </c>
      <c r="K16" s="12">
        <f t="shared" si="2"/>
        <v>0.46210912326257136</v>
      </c>
      <c r="R16" s="1">
        <f t="shared" si="7"/>
        <v>5</v>
      </c>
      <c r="S16" s="1">
        <f>[1]!ACF($H$3:$H$97,R16)</f>
        <v>5.568538530690996E-2</v>
      </c>
      <c r="T16" s="1">
        <f t="shared" si="8"/>
        <v>-0.21643003644282691</v>
      </c>
      <c r="U16" s="1">
        <f>_xlfn.NORM.S.INV(1-$U$8/2)*SQRT((1+2*SUMSQ(S$12:S15))/COUNT($H$3:$H$97))</f>
        <v>0.21643003644282691</v>
      </c>
    </row>
    <row r="17" spans="1:21" x14ac:dyDescent="0.15">
      <c r="A17" s="9">
        <v>42644</v>
      </c>
      <c r="B17" s="8">
        <v>1536.8</v>
      </c>
      <c r="C17" s="11">
        <f t="shared" si="3"/>
        <v>1537.9193984154572</v>
      </c>
      <c r="D17" s="11">
        <f t="shared" si="4"/>
        <v>0.59999999999990905</v>
      </c>
      <c r="E17" s="11">
        <f t="shared" si="5"/>
        <v>1540.5316883771163</v>
      </c>
      <c r="F17" s="11"/>
      <c r="G17" s="11"/>
      <c r="H17" s="12">
        <f t="shared" si="0"/>
        <v>-3.7316883771163702</v>
      </c>
      <c r="I17" s="12">
        <f t="shared" si="1"/>
        <v>3.7316883771163702</v>
      </c>
      <c r="J17" s="12">
        <f t="shared" si="6"/>
        <v>13.92549814390541</v>
      </c>
      <c r="K17" s="12">
        <f t="shared" si="2"/>
        <v>0.24282199226420945</v>
      </c>
      <c r="R17" s="1">
        <f t="shared" si="7"/>
        <v>6</v>
      </c>
      <c r="S17" s="1">
        <f>[1]!ACF($H$3:$H$97,R17)</f>
        <v>8.1375085136156933E-2</v>
      </c>
      <c r="T17" s="1">
        <f t="shared" si="8"/>
        <v>-0.21700860842748765</v>
      </c>
      <c r="U17" s="1">
        <f>_xlfn.NORM.S.INV(1-$U$8/2)*SQRT((1+2*SUMSQ(S$12:S16))/COUNT($H$3:$H$97))</f>
        <v>0.21700860842748765</v>
      </c>
    </row>
    <row r="18" spans="1:21" x14ac:dyDescent="0.15">
      <c r="A18" s="9">
        <v>42675</v>
      </c>
      <c r="B18" s="8">
        <v>1524.3</v>
      </c>
      <c r="C18" s="11">
        <f t="shared" si="3"/>
        <v>1528.5654076242345</v>
      </c>
      <c r="D18" s="11">
        <f t="shared" si="4"/>
        <v>0.59999999999990905</v>
      </c>
      <c r="E18" s="11">
        <f t="shared" si="5"/>
        <v>1538.5193984154571</v>
      </c>
      <c r="F18" s="11"/>
      <c r="G18" s="11"/>
      <c r="H18" s="12">
        <f t="shared" si="0"/>
        <v>-14.219398415457135</v>
      </c>
      <c r="I18" s="12">
        <f t="shared" si="1"/>
        <v>14.219398415457135</v>
      </c>
      <c r="J18" s="12">
        <f t="shared" si="6"/>
        <v>202.1912912975049</v>
      </c>
      <c r="K18" s="12">
        <f t="shared" si="2"/>
        <v>0.93284776064141806</v>
      </c>
      <c r="R18" s="1">
        <f t="shared" si="7"/>
        <v>7</v>
      </c>
      <c r="S18" s="1">
        <f>[1]!ACF($H$3:$H$97,R18)</f>
        <v>-0.17792579736667735</v>
      </c>
      <c r="T18" s="1">
        <f t="shared" si="8"/>
        <v>-0.21823901622475916</v>
      </c>
      <c r="U18" s="1">
        <f>_xlfn.NORM.S.INV(1-$U$8/2)*SQRT((1+2*SUMSQ(S$12:S17))/COUNT($H$3:$H$97))</f>
        <v>0.21823901622475916</v>
      </c>
    </row>
    <row r="19" spans="1:21" x14ac:dyDescent="0.15">
      <c r="A19" s="9">
        <v>42705</v>
      </c>
      <c r="B19" s="8">
        <v>1550.1</v>
      </c>
      <c r="C19" s="11">
        <f t="shared" si="3"/>
        <v>1543.8202287100439</v>
      </c>
      <c r="D19" s="11">
        <f t="shared" si="4"/>
        <v>0.59999999999990905</v>
      </c>
      <c r="E19" s="11">
        <f t="shared" si="5"/>
        <v>1529.1654076242344</v>
      </c>
      <c r="F19" s="11"/>
      <c r="G19" s="11"/>
      <c r="H19" s="12">
        <f t="shared" si="0"/>
        <v>20.934592375765533</v>
      </c>
      <c r="I19" s="12">
        <f t="shared" si="1"/>
        <v>20.934592375765533</v>
      </c>
      <c r="J19" s="12">
        <f t="shared" si="6"/>
        <v>438.2571579394604</v>
      </c>
      <c r="K19" s="12">
        <f t="shared" si="2"/>
        <v>1.3505317318731396</v>
      </c>
      <c r="R19" s="1">
        <f t="shared" si="7"/>
        <v>8</v>
      </c>
      <c r="S19" s="1">
        <f>[1]!ACF($H$3:$H$97,R19)</f>
        <v>-8.8097707624641447E-2</v>
      </c>
      <c r="T19" s="1">
        <f t="shared" si="8"/>
        <v>-0.22402791487493159</v>
      </c>
      <c r="U19" s="1">
        <f>_xlfn.NORM.S.INV(1-$U$8/2)*SQRT((1+2*SUMSQ(S$12:S18))/COUNT($H$3:$H$97))</f>
        <v>0.22402791487493159</v>
      </c>
    </row>
    <row r="20" spans="1:21" x14ac:dyDescent="0.15">
      <c r="A20" s="9">
        <v>42736</v>
      </c>
      <c r="B20" s="8">
        <v>1554.7</v>
      </c>
      <c r="C20" s="11">
        <f t="shared" si="3"/>
        <v>1551.6163663922728</v>
      </c>
      <c r="D20" s="11">
        <f t="shared" si="4"/>
        <v>0.59999999999990905</v>
      </c>
      <c r="E20" s="11">
        <f t="shared" si="5"/>
        <v>1544.4202287100438</v>
      </c>
      <c r="F20" s="11"/>
      <c r="G20" s="11"/>
      <c r="H20" s="12">
        <f t="shared" si="0"/>
        <v>10.279771289956216</v>
      </c>
      <c r="I20" s="12">
        <f t="shared" si="1"/>
        <v>10.279771289956216</v>
      </c>
      <c r="J20" s="12">
        <f t="shared" si="6"/>
        <v>105.67369777380807</v>
      </c>
      <c r="K20" s="12">
        <f t="shared" si="2"/>
        <v>0.6612061034254979</v>
      </c>
      <c r="R20" s="1">
        <f t="shared" si="7"/>
        <v>9</v>
      </c>
      <c r="S20" s="1">
        <f>[1]!ACF($H$3:$H$97,R20)</f>
        <v>-0.13923730840614545</v>
      </c>
      <c r="T20" s="1">
        <f t="shared" si="8"/>
        <v>-0.2254244379943699</v>
      </c>
      <c r="U20" s="1">
        <f>_xlfn.NORM.S.INV(1-$U$8/2)*SQRT((1+2*SUMSQ(S$12:S19))/COUNT($H$3:$H$97))</f>
        <v>0.2254244379943699</v>
      </c>
    </row>
    <row r="21" spans="1:21" x14ac:dyDescent="0.15">
      <c r="A21" s="9">
        <v>42767</v>
      </c>
      <c r="B21" s="8">
        <v>1542.9</v>
      </c>
      <c r="C21" s="11">
        <f t="shared" si="3"/>
        <v>1545.6946400458521</v>
      </c>
      <c r="D21" s="11">
        <f t="shared" si="4"/>
        <v>0.59999999999990905</v>
      </c>
      <c r="E21" s="11">
        <f t="shared" si="5"/>
        <v>1552.2163663922727</v>
      </c>
      <c r="F21" s="11"/>
      <c r="G21" s="11"/>
      <c r="H21" s="12">
        <f t="shared" si="0"/>
        <v>-9.3163663922725846</v>
      </c>
      <c r="I21" s="12">
        <f t="shared" si="1"/>
        <v>9.3163663922725846</v>
      </c>
      <c r="J21" s="12">
        <f t="shared" si="6"/>
        <v>86.794682755066091</v>
      </c>
      <c r="K21" s="12">
        <f t="shared" si="2"/>
        <v>0.60382178963462207</v>
      </c>
      <c r="R21" s="1">
        <f t="shared" si="7"/>
        <v>10</v>
      </c>
      <c r="S21" s="1">
        <f>[1]!ACF($H$3:$H$97,R21)</f>
        <v>-2.8716261093312778E-2</v>
      </c>
      <c r="T21" s="1">
        <f t="shared" si="8"/>
        <v>-0.2288756448866964</v>
      </c>
      <c r="U21" s="1">
        <f>_xlfn.NORM.S.INV(1-$U$8/2)*SQRT((1+2*SUMSQ(S$12:S20))/COUNT($H$3:$H$97))</f>
        <v>0.2288756448866964</v>
      </c>
    </row>
    <row r="22" spans="1:21" x14ac:dyDescent="0.15">
      <c r="A22" s="9">
        <v>42795</v>
      </c>
      <c r="B22" s="8">
        <v>1545.1</v>
      </c>
      <c r="C22" s="11">
        <f t="shared" si="3"/>
        <v>1545.4583574080216</v>
      </c>
      <c r="D22" s="11">
        <f t="shared" si="4"/>
        <v>0.59999999999990905</v>
      </c>
      <c r="E22" s="11">
        <f t="shared" si="5"/>
        <v>1546.294640045852</v>
      </c>
      <c r="F22" s="11"/>
      <c r="G22" s="11"/>
      <c r="H22" s="12">
        <f t="shared" si="0"/>
        <v>-1.1946400458521111</v>
      </c>
      <c r="I22" s="12">
        <f t="shared" si="1"/>
        <v>1.1946400458521111</v>
      </c>
      <c r="J22" s="12">
        <f t="shared" si="6"/>
        <v>1.4271648391535343</v>
      </c>
      <c r="K22" s="12">
        <f t="shared" si="2"/>
        <v>7.7317975914316953E-2</v>
      </c>
      <c r="R22" s="1">
        <f t="shared" si="7"/>
        <v>11</v>
      </c>
      <c r="S22" s="1">
        <f>[1]!ACF($H$3:$H$97,R22)</f>
        <v>6.2687843800480827E-2</v>
      </c>
      <c r="T22" s="1">
        <f t="shared" si="8"/>
        <v>-0.22902128822484144</v>
      </c>
      <c r="U22" s="1">
        <f>_xlfn.NORM.S.INV(1-$U$8/2)*SQRT((1+2*SUMSQ(S$12:S21))/COUNT($H$3:$H$97))</f>
        <v>0.22902128822484144</v>
      </c>
    </row>
    <row r="23" spans="1:21" x14ac:dyDescent="0.15">
      <c r="A23" s="9">
        <v>42826</v>
      </c>
      <c r="B23" s="8">
        <v>1604.2</v>
      </c>
      <c r="C23" s="11">
        <f t="shared" si="3"/>
        <v>1586.7591914403522</v>
      </c>
      <c r="D23" s="11">
        <f t="shared" si="4"/>
        <v>0.59999999999990905</v>
      </c>
      <c r="E23" s="11">
        <f t="shared" si="5"/>
        <v>1546.0583574080215</v>
      </c>
      <c r="F23" s="11"/>
      <c r="G23" s="11"/>
      <c r="H23" s="12">
        <f t="shared" si="0"/>
        <v>58.141642591978552</v>
      </c>
      <c r="I23" s="12">
        <f t="shared" si="1"/>
        <v>58.141642591978552</v>
      </c>
      <c r="J23" s="12">
        <f t="shared" si="6"/>
        <v>3380.4506032933746</v>
      </c>
      <c r="K23" s="12">
        <f t="shared" si="2"/>
        <v>3.6243387727202689</v>
      </c>
      <c r="R23" s="1">
        <f t="shared" si="7"/>
        <v>12</v>
      </c>
      <c r="S23" s="1">
        <f>[1]!ACF($H$3:$H$97,R23)</f>
        <v>0.1772350546540174</v>
      </c>
      <c r="T23" s="1">
        <f t="shared" si="8"/>
        <v>-0.22971408683066741</v>
      </c>
      <c r="U23" s="1">
        <f>_xlfn.NORM.S.INV(1-$U$8/2)*SQRT((1+2*SUMSQ(S$12:S22))/COUNT($H$3:$H$97))</f>
        <v>0.22971408683066741</v>
      </c>
    </row>
    <row r="24" spans="1:21" x14ac:dyDescent="0.15">
      <c r="A24" s="9">
        <v>42856</v>
      </c>
      <c r="B24" s="8">
        <v>1550.6</v>
      </c>
      <c r="C24" s="11">
        <f t="shared" si="3"/>
        <v>1561.6266926102821</v>
      </c>
      <c r="D24" s="11">
        <f t="shared" si="4"/>
        <v>0.59999999999990905</v>
      </c>
      <c r="E24" s="11">
        <f t="shared" si="5"/>
        <v>1587.3591914403521</v>
      </c>
      <c r="F24" s="11"/>
      <c r="G24" s="11"/>
      <c r="H24" s="12">
        <f t="shared" si="0"/>
        <v>-36.759191440352197</v>
      </c>
      <c r="I24" s="12">
        <f t="shared" si="1"/>
        <v>36.759191440352197</v>
      </c>
      <c r="J24" s="12">
        <f t="shared" si="6"/>
        <v>1351.2381553484622</v>
      </c>
      <c r="K24" s="12">
        <f t="shared" si="2"/>
        <v>2.3706430698021541</v>
      </c>
      <c r="R24" s="1">
        <f t="shared" si="7"/>
        <v>13</v>
      </c>
      <c r="S24" s="1">
        <f>[1]!ACF($H$3:$H$97,R24)</f>
        <v>-0.1066267184839972</v>
      </c>
      <c r="T24" s="1">
        <f t="shared" si="8"/>
        <v>-0.23517857050245808</v>
      </c>
      <c r="U24" s="1">
        <f>_xlfn.NORM.S.INV(1-$U$8/2)*SQRT((1+2*SUMSQ(S$12:S23))/COUNT($H$3:$H$97))</f>
        <v>0.23517857050245808</v>
      </c>
    </row>
    <row r="25" spans="1:21" x14ac:dyDescent="0.15">
      <c r="A25" s="9">
        <v>42887</v>
      </c>
      <c r="B25" s="8">
        <v>1548.7</v>
      </c>
      <c r="C25" s="11">
        <f t="shared" si="3"/>
        <v>1552.7576159486366</v>
      </c>
      <c r="D25" s="11">
        <f t="shared" si="4"/>
        <v>0.59999999999990905</v>
      </c>
      <c r="E25" s="11">
        <f t="shared" si="5"/>
        <v>1562.226692610282</v>
      </c>
      <c r="F25" s="11"/>
      <c r="G25" s="11"/>
      <c r="H25" s="12">
        <f t="shared" si="0"/>
        <v>-13.526692610281998</v>
      </c>
      <c r="I25" s="12">
        <f t="shared" si="1"/>
        <v>13.526692610281998</v>
      </c>
      <c r="J25" s="12">
        <f t="shared" si="6"/>
        <v>182.97141297305762</v>
      </c>
      <c r="K25" s="12">
        <f t="shared" si="2"/>
        <v>0.87342239363866447</v>
      </c>
      <c r="R25" s="1">
        <f t="shared" si="7"/>
        <v>14</v>
      </c>
      <c r="S25" s="1">
        <f>[1]!ACF($H$3:$H$97,R25)</f>
        <v>-0.17172409991163715</v>
      </c>
      <c r="T25" s="1">
        <f t="shared" si="8"/>
        <v>-0.23712533368491132</v>
      </c>
      <c r="U25" s="1">
        <f>_xlfn.NORM.S.INV(1-$U$8/2)*SQRT((1+2*SUMSQ(S$12:S24))/COUNT($H$3:$H$97))</f>
        <v>0.23712533368491132</v>
      </c>
    </row>
    <row r="26" spans="1:21" x14ac:dyDescent="0.15">
      <c r="A26" s="9">
        <v>42917</v>
      </c>
      <c r="B26" s="8">
        <v>1541.7</v>
      </c>
      <c r="C26" s="11">
        <f t="shared" si="3"/>
        <v>1545.1969470926183</v>
      </c>
      <c r="D26" s="11">
        <f t="shared" si="4"/>
        <v>0.59999999999990905</v>
      </c>
      <c r="E26" s="11">
        <f t="shared" si="5"/>
        <v>1553.3576159486365</v>
      </c>
      <c r="F26" s="11"/>
      <c r="G26" s="11"/>
      <c r="H26" s="12">
        <f t="shared" si="0"/>
        <v>-11.657615948636476</v>
      </c>
      <c r="I26" s="12">
        <f t="shared" si="1"/>
        <v>11.657615948636476</v>
      </c>
      <c r="J26" s="12">
        <f t="shared" si="6"/>
        <v>135.90000960590353</v>
      </c>
      <c r="K26" s="12">
        <f t="shared" si="2"/>
        <v>0.75615333389352501</v>
      </c>
      <c r="R26" s="1">
        <f t="shared" si="7"/>
        <v>15</v>
      </c>
      <c r="S26" s="1">
        <f>[1]!ACF($H$3:$H$97,R26)</f>
        <v>-1.4212929680156651E-2</v>
      </c>
      <c r="T26" s="1">
        <f t="shared" si="8"/>
        <v>-0.24210182950245837</v>
      </c>
      <c r="U26" s="1">
        <f>_xlfn.NORM.S.INV(1-$U$8/2)*SQRT((1+2*SUMSQ(S$12:S25))/COUNT($H$3:$H$97))</f>
        <v>0.24210182950245837</v>
      </c>
    </row>
    <row r="27" spans="1:21" x14ac:dyDescent="0.15">
      <c r="A27" s="9">
        <v>42948</v>
      </c>
      <c r="B27" s="8">
        <v>1519.8</v>
      </c>
      <c r="C27" s="11">
        <f t="shared" si="3"/>
        <v>1527.5983310612589</v>
      </c>
      <c r="D27" s="11">
        <f t="shared" si="4"/>
        <v>0.59999999999990905</v>
      </c>
      <c r="E27" s="11">
        <f t="shared" si="5"/>
        <v>1545.7969470926182</v>
      </c>
      <c r="F27" s="11"/>
      <c r="G27" s="11"/>
      <c r="H27" s="12">
        <f t="shared" si="0"/>
        <v>-25.996947092618257</v>
      </c>
      <c r="I27" s="12">
        <f t="shared" si="1"/>
        <v>25.996947092618257</v>
      </c>
      <c r="J27" s="12">
        <f t="shared" si="6"/>
        <v>675.84125813639287</v>
      </c>
      <c r="K27" s="12">
        <f t="shared" si="2"/>
        <v>1.7105505390589721</v>
      </c>
      <c r="R27" s="1">
        <f t="shared" si="7"/>
        <v>16</v>
      </c>
      <c r="S27" s="1">
        <f>[1]!ACF($H$3:$H$97,R27)</f>
        <v>0.13033068523486921</v>
      </c>
      <c r="T27" s="1">
        <f t="shared" si="8"/>
        <v>-0.24213556689087981</v>
      </c>
      <c r="U27" s="1">
        <f>_xlfn.NORM.S.INV(1-$U$8/2)*SQRT((1+2*SUMSQ(S$12:S26))/COUNT($H$3:$H$97))</f>
        <v>0.24213556689087981</v>
      </c>
    </row>
    <row r="28" spans="1:21" x14ac:dyDescent="0.15">
      <c r="A28" s="9">
        <v>42979</v>
      </c>
      <c r="B28" s="8">
        <v>1557.1</v>
      </c>
      <c r="C28" s="11">
        <f t="shared" si="3"/>
        <v>1548.43033652743</v>
      </c>
      <c r="D28" s="11">
        <f t="shared" si="4"/>
        <v>0.59999999999990905</v>
      </c>
      <c r="E28" s="11">
        <f t="shared" si="5"/>
        <v>1528.1983310612588</v>
      </c>
      <c r="F28" s="11"/>
      <c r="G28" s="11"/>
      <c r="H28" s="12">
        <f t="shared" si="0"/>
        <v>28.901668938741068</v>
      </c>
      <c r="I28" s="12">
        <f t="shared" si="1"/>
        <v>28.901668938741068</v>
      </c>
      <c r="J28" s="12">
        <f t="shared" si="6"/>
        <v>835.30646744459023</v>
      </c>
      <c r="K28" s="12">
        <f t="shared" si="2"/>
        <v>1.8561215682191941</v>
      </c>
      <c r="R28" s="1">
        <f t="shared" si="7"/>
        <v>17</v>
      </c>
      <c r="S28" s="1">
        <f>[1]!ACF($H$3:$H$97,R28)</f>
        <v>0.23819276619666252</v>
      </c>
      <c r="T28" s="1">
        <f t="shared" si="8"/>
        <v>-0.24495580316729534</v>
      </c>
      <c r="U28" s="1">
        <f>_xlfn.NORM.S.INV(1-$U$8/2)*SQRT((1+2*SUMSQ(S$12:S27))/COUNT($H$3:$H$97))</f>
        <v>0.24495580316729534</v>
      </c>
    </row>
    <row r="29" spans="1:21" x14ac:dyDescent="0.15">
      <c r="A29" s="9">
        <v>43009</v>
      </c>
      <c r="B29" s="8">
        <v>1566.8</v>
      </c>
      <c r="C29" s="11">
        <f t="shared" si="3"/>
        <v>1561.4696157009294</v>
      </c>
      <c r="D29" s="11">
        <f t="shared" si="4"/>
        <v>0.59999999999990905</v>
      </c>
      <c r="E29" s="11">
        <f t="shared" si="5"/>
        <v>1549.0303365274299</v>
      </c>
      <c r="F29" s="11"/>
      <c r="G29" s="11"/>
      <c r="H29" s="12">
        <f t="shared" si="0"/>
        <v>17.769663472570073</v>
      </c>
      <c r="I29" s="12">
        <f t="shared" si="1"/>
        <v>17.769663472570073</v>
      </c>
      <c r="J29" s="12">
        <f t="shared" si="6"/>
        <v>315.76093992839111</v>
      </c>
      <c r="K29" s="12">
        <f t="shared" si="2"/>
        <v>1.1341373163498898</v>
      </c>
      <c r="R29" s="1">
        <f t="shared" si="7"/>
        <v>18</v>
      </c>
      <c r="S29" s="1">
        <f>[1]!ACF($H$3:$H$97,R29)</f>
        <v>0.1226099973296876</v>
      </c>
      <c r="T29" s="1">
        <f t="shared" si="8"/>
        <v>-0.25414902910686987</v>
      </c>
      <c r="U29" s="1">
        <f>_xlfn.NORM.S.INV(1-$U$8/2)*SQRT((1+2*SUMSQ(S$12:S28))/COUNT($H$3:$H$97))</f>
        <v>0.25414902910686987</v>
      </c>
    </row>
    <row r="30" spans="1:21" x14ac:dyDescent="0.15">
      <c r="A30" s="9">
        <v>43040</v>
      </c>
      <c r="B30" s="8">
        <v>1536.8</v>
      </c>
      <c r="C30" s="11">
        <f t="shared" si="3"/>
        <v>1544.3801527127234</v>
      </c>
      <c r="D30" s="11">
        <f t="shared" si="4"/>
        <v>0.59999999999990905</v>
      </c>
      <c r="E30" s="11">
        <f t="shared" si="5"/>
        <v>1562.0696157009293</v>
      </c>
      <c r="F30" s="11"/>
      <c r="G30" s="11"/>
      <c r="H30" s="12">
        <f t="shared" si="0"/>
        <v>-25.269615700929307</v>
      </c>
      <c r="I30" s="12">
        <f t="shared" si="1"/>
        <v>25.269615700929307</v>
      </c>
      <c r="J30" s="12">
        <f t="shared" si="6"/>
        <v>638.553477672653</v>
      </c>
      <c r="K30" s="12">
        <f t="shared" si="2"/>
        <v>1.6443008654951397</v>
      </c>
      <c r="R30" s="1">
        <f t="shared" si="7"/>
        <v>19</v>
      </c>
      <c r="S30" s="1">
        <f>[1]!ACF($H$3:$H$97,R30)</f>
        <v>-0.26563841559083795</v>
      </c>
      <c r="T30" s="1">
        <f t="shared" si="8"/>
        <v>-0.2565297393252276</v>
      </c>
      <c r="U30" s="1">
        <f>_xlfn.NORM.S.INV(1-$U$8/2)*SQRT((1+2*SUMSQ(S$12:S29))/COUNT($H$3:$H$97))</f>
        <v>0.2565297393252276</v>
      </c>
    </row>
    <row r="31" spans="1:21" x14ac:dyDescent="0.15">
      <c r="A31" s="9">
        <v>43070</v>
      </c>
      <c r="B31" s="8">
        <v>1553.1</v>
      </c>
      <c r="C31" s="11">
        <f t="shared" si="3"/>
        <v>1550.6642810254812</v>
      </c>
      <c r="D31" s="11">
        <f t="shared" si="4"/>
        <v>0.59999999999990905</v>
      </c>
      <c r="E31" s="11">
        <f t="shared" si="5"/>
        <v>1544.9801527127233</v>
      </c>
      <c r="F31" s="11"/>
      <c r="G31" s="11"/>
      <c r="H31" s="12">
        <f t="shared" si="0"/>
        <v>8.1198472872765706</v>
      </c>
      <c r="I31" s="12">
        <f t="shared" si="1"/>
        <v>8.1198472872765706</v>
      </c>
      <c r="J31" s="12">
        <f t="shared" si="6"/>
        <v>65.931919968692682</v>
      </c>
      <c r="K31" s="12">
        <f t="shared" si="2"/>
        <v>0.52281548433948688</v>
      </c>
      <c r="R31" s="1">
        <f t="shared" si="7"/>
        <v>20</v>
      </c>
      <c r="S31" s="1">
        <f>[1]!ACF($H$3:$H$97,R31)</f>
        <v>-7.128747316181154E-2</v>
      </c>
      <c r="T31" s="1">
        <f t="shared" si="8"/>
        <v>-0.26742138631947776</v>
      </c>
      <c r="U31" s="1">
        <f>_xlfn.NORM.S.INV(1-$U$8/2)*SQRT((1+2*SUMSQ(S$12:S30))/COUNT($H$3:$H$97))</f>
        <v>0.26742138631947776</v>
      </c>
    </row>
    <row r="32" spans="1:21" x14ac:dyDescent="0.15">
      <c r="A32" s="9">
        <v>43101</v>
      </c>
      <c r="B32" s="8">
        <v>1544.7</v>
      </c>
      <c r="C32" s="11">
        <f t="shared" si="3"/>
        <v>1546.6690941568434</v>
      </c>
      <c r="D32" s="11">
        <f t="shared" si="4"/>
        <v>0.59999999999990905</v>
      </c>
      <c r="E32" s="11">
        <f t="shared" si="5"/>
        <v>1551.2642810254811</v>
      </c>
      <c r="F32" s="11"/>
      <c r="G32" s="11"/>
      <c r="H32" s="12">
        <f t="shared" si="0"/>
        <v>-6.5642810254810229</v>
      </c>
      <c r="I32" s="12">
        <f t="shared" si="1"/>
        <v>6.5642810254810229</v>
      </c>
      <c r="J32" s="12">
        <f t="shared" si="6"/>
        <v>43.089785381490188</v>
      </c>
      <c r="K32" s="12">
        <f t="shared" si="2"/>
        <v>0.42495507383187825</v>
      </c>
      <c r="R32" s="1">
        <f t="shared" si="7"/>
        <v>21</v>
      </c>
      <c r="S32" s="1">
        <f>[1]!ACF($H$3:$H$97,R32)</f>
        <v>7.4880063046141282E-2</v>
      </c>
      <c r="T32" s="1">
        <f t="shared" si="8"/>
        <v>-0.26818871292595753</v>
      </c>
      <c r="U32" s="1">
        <f>_xlfn.NORM.S.INV(1-$U$8/2)*SQRT((1+2*SUMSQ(S$12:S31))/COUNT($H$3:$H$97))</f>
        <v>0.26818871292595753</v>
      </c>
    </row>
    <row r="33" spans="1:21" x14ac:dyDescent="0.15">
      <c r="A33" s="9">
        <v>43132</v>
      </c>
      <c r="B33" s="8">
        <v>1547.5</v>
      </c>
      <c r="C33" s="11">
        <f t="shared" si="3"/>
        <v>1547.4307349358176</v>
      </c>
      <c r="D33" s="11">
        <f t="shared" si="4"/>
        <v>0.59999999999990905</v>
      </c>
      <c r="E33" s="11">
        <f t="shared" si="5"/>
        <v>1547.2690941568433</v>
      </c>
      <c r="F33" s="11"/>
      <c r="G33" s="11"/>
      <c r="H33" s="12">
        <f t="shared" si="0"/>
        <v>0.23090584315673368</v>
      </c>
      <c r="I33" s="12">
        <f t="shared" si="1"/>
        <v>0.23090584315673368</v>
      </c>
      <c r="J33" s="12">
        <f t="shared" si="6"/>
        <v>5.3317508403922097E-2</v>
      </c>
      <c r="K33" s="12">
        <f t="shared" si="2"/>
        <v>1.4921217651485214E-2</v>
      </c>
      <c r="R33" s="1">
        <f t="shared" si="7"/>
        <v>22</v>
      </c>
      <c r="S33" s="1">
        <f>[1]!ACF($H$3:$H$97,R33)</f>
        <v>4.7931541141039771E-3</v>
      </c>
      <c r="T33" s="1">
        <f t="shared" si="8"/>
        <v>-0.26903278899701277</v>
      </c>
      <c r="U33" s="1">
        <f>_xlfn.NORM.S.INV(1-$U$8/2)*SQRT((1+2*SUMSQ(S$12:S32))/COUNT($H$3:$H$97))</f>
        <v>0.26903278899701277</v>
      </c>
    </row>
    <row r="34" spans="1:21" x14ac:dyDescent="0.15">
      <c r="A34" s="9">
        <v>43160</v>
      </c>
      <c r="B34" s="8">
        <v>1548.6</v>
      </c>
      <c r="C34" s="11">
        <f t="shared" si="3"/>
        <v>1548.4292369709301</v>
      </c>
      <c r="D34" s="11">
        <f t="shared" si="4"/>
        <v>0.59999999999990905</v>
      </c>
      <c r="E34" s="11">
        <f t="shared" si="5"/>
        <v>1548.0307349358175</v>
      </c>
      <c r="F34" s="11"/>
      <c r="G34" s="11"/>
      <c r="H34" s="12">
        <f t="shared" si="0"/>
        <v>0.56926506418244571</v>
      </c>
      <c r="I34" s="12">
        <f t="shared" si="1"/>
        <v>0.56926506418244571</v>
      </c>
      <c r="J34" s="12">
        <f t="shared" si="6"/>
        <v>0.32406271329864406</v>
      </c>
      <c r="K34" s="12">
        <f t="shared" si="2"/>
        <v>3.675998089774285E-2</v>
      </c>
      <c r="R34" s="1">
        <f t="shared" si="7"/>
        <v>23</v>
      </c>
      <c r="S34" s="1">
        <f>[1]!ACF($H$3:$H$97,R34)</f>
        <v>-8.6890583745276341E-3</v>
      </c>
      <c r="T34" s="1">
        <f t="shared" si="8"/>
        <v>-0.2690362420827519</v>
      </c>
      <c r="U34" s="1">
        <f>_xlfn.NORM.S.INV(1-$U$8/2)*SQRT((1+2*SUMSQ(S$12:S33))/COUNT($H$3:$H$97))</f>
        <v>0.2690362420827519</v>
      </c>
    </row>
    <row r="35" spans="1:21" x14ac:dyDescent="0.15">
      <c r="A35" s="9">
        <v>43191</v>
      </c>
      <c r="B35" s="8">
        <v>1542.1</v>
      </c>
      <c r="C35" s="11">
        <f t="shared" si="3"/>
        <v>1544.1785703686173</v>
      </c>
      <c r="D35" s="11">
        <f t="shared" si="4"/>
        <v>0.59999999999990905</v>
      </c>
      <c r="E35" s="11">
        <f t="shared" si="5"/>
        <v>1549.02923697093</v>
      </c>
      <c r="F35" s="11"/>
      <c r="G35" s="11"/>
      <c r="H35" s="12">
        <f t="shared" si="0"/>
        <v>-6.9292369709301056</v>
      </c>
      <c r="I35" s="12">
        <f t="shared" si="1"/>
        <v>6.9292369709301056</v>
      </c>
      <c r="J35" s="12">
        <f t="shared" si="6"/>
        <v>48.014324999304627</v>
      </c>
      <c r="K35" s="12">
        <f t="shared" si="2"/>
        <v>0.44933771940406625</v>
      </c>
      <c r="R35" s="27">
        <f t="shared" si="7"/>
        <v>24</v>
      </c>
      <c r="S35" s="27">
        <f>[1]!ACF($H$3:$H$97,R35)</f>
        <v>3.3068329906637897E-2</v>
      </c>
      <c r="T35" s="27">
        <f t="shared" si="8"/>
        <v>-0.26904758952705282</v>
      </c>
      <c r="U35" s="27">
        <f>_xlfn.NORM.S.INV(1-$U$8/2)*SQRT((1+2*SUMSQ(S$12:S34))/COUNT($H$3:$H$97))</f>
        <v>0.26904758952705282</v>
      </c>
    </row>
    <row r="36" spans="1:21" x14ac:dyDescent="0.15">
      <c r="A36" s="9">
        <v>43221</v>
      </c>
      <c r="B36" s="8">
        <v>1588.6</v>
      </c>
      <c r="C36" s="11">
        <f t="shared" si="3"/>
        <v>1575.454840507783</v>
      </c>
      <c r="D36" s="11">
        <f t="shared" si="4"/>
        <v>0.59999999999990905</v>
      </c>
      <c r="E36" s="11">
        <f t="shared" si="5"/>
        <v>1544.7785703686172</v>
      </c>
      <c r="F36" s="11"/>
      <c r="G36" s="11"/>
      <c r="H36" s="12">
        <f t="shared" si="0"/>
        <v>43.821429631382671</v>
      </c>
      <c r="I36" s="12">
        <f t="shared" si="1"/>
        <v>43.821429631382671</v>
      </c>
      <c r="J36" s="12">
        <f t="shared" si="6"/>
        <v>1920.3176949382232</v>
      </c>
      <c r="K36" s="12">
        <f t="shared" si="2"/>
        <v>2.758493618996769</v>
      </c>
    </row>
    <row r="37" spans="1:21" x14ac:dyDescent="0.15">
      <c r="A37" s="9">
        <v>43252</v>
      </c>
      <c r="B37" s="8">
        <v>1577.2</v>
      </c>
      <c r="C37" s="11">
        <f t="shared" si="3"/>
        <v>1576.8564853247408</v>
      </c>
      <c r="D37" s="11">
        <f t="shared" si="4"/>
        <v>0.59999999999990905</v>
      </c>
      <c r="E37" s="11">
        <f t="shared" si="5"/>
        <v>1576.054840507783</v>
      </c>
      <c r="F37" s="11"/>
      <c r="G37" s="11"/>
      <c r="H37" s="12">
        <f t="shared" si="0"/>
        <v>1.1451594922170898</v>
      </c>
      <c r="I37" s="12">
        <f t="shared" si="1"/>
        <v>1.1451594922170898</v>
      </c>
      <c r="J37" s="12">
        <f t="shared" si="6"/>
        <v>1.311390262614903</v>
      </c>
      <c r="K37" s="12">
        <f t="shared" si="2"/>
        <v>7.2607119719572011E-2</v>
      </c>
    </row>
    <row r="38" spans="1:21" x14ac:dyDescent="0.15">
      <c r="A38" s="9">
        <v>43282</v>
      </c>
      <c r="B38" s="8">
        <v>1540.7</v>
      </c>
      <c r="C38" s="11">
        <f t="shared" si="3"/>
        <v>1551.7258808539882</v>
      </c>
      <c r="D38" s="11">
        <f t="shared" si="4"/>
        <v>0.59999999999990905</v>
      </c>
      <c r="E38" s="11">
        <f t="shared" si="5"/>
        <v>1577.4564853247407</v>
      </c>
      <c r="F38" s="11"/>
      <c r="G38" s="11"/>
      <c r="H38" s="12">
        <f t="shared" si="0"/>
        <v>-36.756485324740652</v>
      </c>
      <c r="I38" s="12">
        <f t="shared" si="1"/>
        <v>36.756485324740652</v>
      </c>
      <c r="J38" s="12">
        <f t="shared" si="6"/>
        <v>1351.039213427875</v>
      </c>
      <c r="K38" s="12">
        <f t="shared" si="2"/>
        <v>2.3857003520958426</v>
      </c>
    </row>
    <row r="39" spans="1:21" x14ac:dyDescent="0.15">
      <c r="A39" s="9">
        <v>43313</v>
      </c>
      <c r="B39" s="8">
        <v>1554.6</v>
      </c>
      <c r="C39" s="11">
        <f t="shared" si="3"/>
        <v>1553.9178301317393</v>
      </c>
      <c r="D39" s="11">
        <f t="shared" si="4"/>
        <v>0.59999999999990905</v>
      </c>
      <c r="E39" s="11">
        <f t="shared" si="5"/>
        <v>1552.3258808539881</v>
      </c>
      <c r="F39" s="11"/>
      <c r="G39" s="11"/>
      <c r="H39" s="12">
        <f t="shared" si="0"/>
        <v>2.2741191460117989</v>
      </c>
      <c r="I39" s="12">
        <f t="shared" si="1"/>
        <v>2.2741191460117989</v>
      </c>
      <c r="J39" s="12">
        <f t="shared" si="6"/>
        <v>5.1716178902574335</v>
      </c>
      <c r="K39" s="12">
        <f t="shared" si="2"/>
        <v>0.14628323337268745</v>
      </c>
    </row>
    <row r="40" spans="1:21" x14ac:dyDescent="0.15">
      <c r="A40" s="9">
        <v>43344</v>
      </c>
      <c r="B40" s="8">
        <v>1560</v>
      </c>
      <c r="C40" s="11">
        <f t="shared" si="3"/>
        <v>1558.3555078442694</v>
      </c>
      <c r="D40" s="11">
        <f t="shared" si="4"/>
        <v>0.59999999999990905</v>
      </c>
      <c r="E40" s="11">
        <f t="shared" si="5"/>
        <v>1554.5178301317392</v>
      </c>
      <c r="F40" s="11"/>
      <c r="G40" s="11"/>
      <c r="H40" s="12">
        <f t="shared" si="0"/>
        <v>5.4821698682608258</v>
      </c>
      <c r="I40" s="12">
        <f t="shared" si="1"/>
        <v>5.4821698682608258</v>
      </c>
      <c r="J40" s="12">
        <f t="shared" si="6"/>
        <v>30.05418646446692</v>
      </c>
      <c r="K40" s="12">
        <f t="shared" si="2"/>
        <v>0.35142114540133496</v>
      </c>
    </row>
    <row r="41" spans="1:21" x14ac:dyDescent="0.15">
      <c r="A41" s="9">
        <v>43374</v>
      </c>
      <c r="B41" s="8">
        <v>1565.6</v>
      </c>
      <c r="C41" s="11">
        <f t="shared" si="3"/>
        <v>1563.6068448275976</v>
      </c>
      <c r="D41" s="11">
        <f t="shared" si="4"/>
        <v>0.59999999999990905</v>
      </c>
      <c r="E41" s="11">
        <f t="shared" si="5"/>
        <v>1558.9555078442693</v>
      </c>
      <c r="F41" s="11"/>
      <c r="G41" s="11"/>
      <c r="H41" s="12">
        <f t="shared" si="0"/>
        <v>6.6444921557306316</v>
      </c>
      <c r="I41" s="12">
        <f t="shared" si="1"/>
        <v>6.6444921557306316</v>
      </c>
      <c r="J41" s="12">
        <f t="shared" si="6"/>
        <v>44.149276007565895</v>
      </c>
      <c r="K41" s="12">
        <f t="shared" si="2"/>
        <v>0.42440547749940166</v>
      </c>
    </row>
    <row r="42" spans="1:21" x14ac:dyDescent="0.15">
      <c r="A42" s="9">
        <v>43405</v>
      </c>
      <c r="B42" s="8">
        <v>1537.1</v>
      </c>
      <c r="C42" s="11">
        <f t="shared" si="3"/>
        <v>1545.231268230792</v>
      </c>
      <c r="D42" s="11">
        <f t="shared" si="4"/>
        <v>0.59999999999990905</v>
      </c>
      <c r="E42" s="11">
        <f t="shared" si="5"/>
        <v>1564.2068448275975</v>
      </c>
      <c r="F42" s="11"/>
      <c r="G42" s="11"/>
      <c r="H42" s="12">
        <f t="shared" si="0"/>
        <v>-27.10684482759757</v>
      </c>
      <c r="I42" s="12">
        <f t="shared" si="1"/>
        <v>27.10684482759757</v>
      </c>
      <c r="J42" s="12">
        <f t="shared" si="6"/>
        <v>734.78103650745311</v>
      </c>
      <c r="K42" s="12">
        <f t="shared" si="2"/>
        <v>1.7635056162642362</v>
      </c>
    </row>
    <row r="43" spans="1:21" x14ac:dyDescent="0.15">
      <c r="A43" s="9">
        <v>43435</v>
      </c>
      <c r="B43" s="8">
        <v>1567.6</v>
      </c>
      <c r="C43" s="11">
        <f t="shared" si="3"/>
        <v>1561.0700110549428</v>
      </c>
      <c r="D43" s="11">
        <f t="shared" si="4"/>
        <v>0.59999999999990905</v>
      </c>
      <c r="E43" s="11">
        <f t="shared" si="5"/>
        <v>1545.8312682307919</v>
      </c>
      <c r="F43" s="11"/>
      <c r="G43" s="11"/>
      <c r="H43" s="12">
        <f t="shared" si="0"/>
        <v>21.768731769207989</v>
      </c>
      <c r="I43" s="12">
        <f t="shared" si="1"/>
        <v>21.768731769207989</v>
      </c>
      <c r="J43" s="12">
        <f t="shared" si="6"/>
        <v>473.8776828397252</v>
      </c>
      <c r="K43" s="12">
        <f t="shared" si="2"/>
        <v>1.3886662266654752</v>
      </c>
    </row>
    <row r="44" spans="1:21" x14ac:dyDescent="0.15">
      <c r="A44" s="9">
        <v>43466</v>
      </c>
      <c r="B44" s="8">
        <v>1540.1</v>
      </c>
      <c r="C44" s="11">
        <f t="shared" si="3"/>
        <v>1546.5703784872194</v>
      </c>
      <c r="D44" s="11">
        <f t="shared" si="4"/>
        <v>0.59999999999990905</v>
      </c>
      <c r="E44" s="11">
        <f t="shared" si="5"/>
        <v>1561.6700110549427</v>
      </c>
      <c r="F44" s="11"/>
      <c r="G44" s="11"/>
      <c r="H44" s="12">
        <f t="shared" si="0"/>
        <v>-21.570011054942825</v>
      </c>
      <c r="I44" s="12">
        <f t="shared" si="1"/>
        <v>21.570011054942825</v>
      </c>
      <c r="J44" s="12">
        <f t="shared" si="6"/>
        <v>465.26537691035566</v>
      </c>
      <c r="K44" s="12">
        <f t="shared" si="2"/>
        <v>1.4005591231051768</v>
      </c>
    </row>
    <row r="45" spans="1:21" x14ac:dyDescent="0.15">
      <c r="A45" s="9">
        <v>43497</v>
      </c>
      <c r="B45" s="8">
        <v>1566.3</v>
      </c>
      <c r="C45" s="11">
        <f t="shared" si="3"/>
        <v>1560.5616676834486</v>
      </c>
      <c r="D45" s="11">
        <f t="shared" si="4"/>
        <v>0.59999999999990905</v>
      </c>
      <c r="E45" s="11">
        <f t="shared" si="5"/>
        <v>1547.1703784872193</v>
      </c>
      <c r="F45" s="11"/>
      <c r="G45" s="11"/>
      <c r="H45" s="12">
        <f t="shared" si="0"/>
        <v>19.129621512780659</v>
      </c>
      <c r="I45" s="12">
        <f t="shared" si="1"/>
        <v>19.129621512780659</v>
      </c>
      <c r="J45" s="12">
        <f t="shared" si="6"/>
        <v>365.94241922224057</v>
      </c>
      <c r="K45" s="12">
        <f t="shared" si="2"/>
        <v>1.221325513169933</v>
      </c>
    </row>
    <row r="46" spans="1:21" x14ac:dyDescent="0.15">
      <c r="A46" s="9">
        <v>43525</v>
      </c>
      <c r="B46" s="8">
        <v>1535.7</v>
      </c>
      <c r="C46" s="11">
        <f t="shared" si="3"/>
        <v>1543.3377627442137</v>
      </c>
      <c r="D46" s="11">
        <f t="shared" si="4"/>
        <v>0.59999999999990905</v>
      </c>
      <c r="E46" s="11">
        <f t="shared" si="5"/>
        <v>1561.1616676834485</v>
      </c>
      <c r="F46" s="11"/>
      <c r="G46" s="11"/>
      <c r="H46" s="12">
        <f t="shared" si="0"/>
        <v>-25.461667683448468</v>
      </c>
      <c r="I46" s="12">
        <f t="shared" si="1"/>
        <v>25.461667683448468</v>
      </c>
      <c r="J46" s="12">
        <f t="shared" si="6"/>
        <v>648.29652122236405</v>
      </c>
      <c r="K46" s="12">
        <f t="shared" si="2"/>
        <v>1.6579844815685658</v>
      </c>
    </row>
    <row r="47" spans="1:21" x14ac:dyDescent="0.15">
      <c r="A47" s="9">
        <v>43556</v>
      </c>
      <c r="B47" s="8">
        <v>1565.8</v>
      </c>
      <c r="C47" s="11">
        <f t="shared" si="3"/>
        <v>1559.2419621175893</v>
      </c>
      <c r="D47" s="11">
        <f t="shared" si="4"/>
        <v>0.59999999999990905</v>
      </c>
      <c r="E47" s="11">
        <f t="shared" si="5"/>
        <v>1543.9377627442136</v>
      </c>
      <c r="F47" s="11"/>
      <c r="G47" s="11"/>
      <c r="H47" s="12">
        <f t="shared" si="0"/>
        <v>21.86223725578634</v>
      </c>
      <c r="I47" s="12">
        <f t="shared" si="1"/>
        <v>21.86223725578634</v>
      </c>
      <c r="J47" s="12">
        <f t="shared" si="6"/>
        <v>477.95741782829225</v>
      </c>
      <c r="K47" s="12">
        <f t="shared" si="2"/>
        <v>1.3962343374496322</v>
      </c>
    </row>
    <row r="48" spans="1:21" x14ac:dyDescent="0.15">
      <c r="A48" s="9">
        <v>43586</v>
      </c>
      <c r="B48" s="8">
        <v>1575.7</v>
      </c>
      <c r="C48" s="11">
        <f t="shared" si="3"/>
        <v>1570.9430480029657</v>
      </c>
      <c r="D48" s="11">
        <f t="shared" si="4"/>
        <v>0.59999999999990905</v>
      </c>
      <c r="E48" s="11">
        <f t="shared" si="5"/>
        <v>1559.8419621175892</v>
      </c>
      <c r="F48" s="11"/>
      <c r="G48" s="11"/>
      <c r="H48" s="12">
        <f t="shared" si="0"/>
        <v>15.858037882410827</v>
      </c>
      <c r="I48" s="12">
        <f t="shared" si="1"/>
        <v>15.858037882410827</v>
      </c>
      <c r="J48" s="12">
        <f t="shared" si="6"/>
        <v>251.47736547997684</v>
      </c>
      <c r="K48" s="12">
        <f t="shared" si="2"/>
        <v>1.0064122537545743</v>
      </c>
    </row>
    <row r="49" spans="1:11" x14ac:dyDescent="0.15">
      <c r="A49" s="9">
        <v>43617</v>
      </c>
      <c r="B49" s="8">
        <v>1570</v>
      </c>
      <c r="C49" s="11">
        <f t="shared" si="3"/>
        <v>1570.462869702649</v>
      </c>
      <c r="D49" s="11">
        <f t="shared" si="4"/>
        <v>0.59999999999990905</v>
      </c>
      <c r="E49" s="11">
        <f t="shared" si="5"/>
        <v>1571.5430480029656</v>
      </c>
      <c r="F49" s="11"/>
      <c r="G49" s="11"/>
      <c r="H49" s="12">
        <f t="shared" si="0"/>
        <v>-1.5430480029656337</v>
      </c>
      <c r="I49" s="12">
        <f t="shared" si="1"/>
        <v>1.5430480029656337</v>
      </c>
      <c r="J49" s="12">
        <f t="shared" si="6"/>
        <v>2.3809971394562304</v>
      </c>
      <c r="K49" s="12">
        <f t="shared" si="2"/>
        <v>9.8283312290804697E-2</v>
      </c>
    </row>
    <row r="50" spans="1:11" x14ac:dyDescent="0.15">
      <c r="A50" s="9">
        <v>43647</v>
      </c>
      <c r="B50" s="8">
        <v>1548.9</v>
      </c>
      <c r="C50" s="11">
        <f t="shared" si="3"/>
        <v>1555.5482189078996</v>
      </c>
      <c r="D50" s="11">
        <f t="shared" si="4"/>
        <v>0.59999999999990905</v>
      </c>
      <c r="E50" s="11">
        <f t="shared" si="5"/>
        <v>1571.0628697026489</v>
      </c>
      <c r="F50" s="11"/>
      <c r="G50" s="11"/>
      <c r="H50" s="12">
        <f t="shared" si="0"/>
        <v>-22.162869702648777</v>
      </c>
      <c r="I50" s="12">
        <f t="shared" si="1"/>
        <v>22.162869702648777</v>
      </c>
      <c r="J50" s="12">
        <f t="shared" si="6"/>
        <v>491.19279345658708</v>
      </c>
      <c r="K50" s="12">
        <f t="shared" si="2"/>
        <v>1.4308780232841873</v>
      </c>
    </row>
    <row r="51" spans="1:11" x14ac:dyDescent="0.15">
      <c r="A51" s="9">
        <v>43678</v>
      </c>
      <c r="B51" s="8">
        <v>1575.1</v>
      </c>
      <c r="C51" s="11">
        <f t="shared" si="3"/>
        <v>1569.4150146580605</v>
      </c>
      <c r="D51" s="11">
        <f t="shared" si="4"/>
        <v>0.59999999999990905</v>
      </c>
      <c r="E51" s="11">
        <f t="shared" si="5"/>
        <v>1556.1482189078995</v>
      </c>
      <c r="F51" s="11"/>
      <c r="G51" s="11"/>
      <c r="H51" s="12">
        <f t="shared" si="0"/>
        <v>18.951781092100418</v>
      </c>
      <c r="I51" s="12">
        <f t="shared" si="1"/>
        <v>18.951781092100418</v>
      </c>
      <c r="J51" s="12">
        <f t="shared" si="6"/>
        <v>359.17000656289491</v>
      </c>
      <c r="K51" s="12">
        <f t="shared" si="2"/>
        <v>1.2032112940194539</v>
      </c>
    </row>
    <row r="52" spans="1:11" x14ac:dyDescent="0.15">
      <c r="A52" s="9">
        <v>43709</v>
      </c>
      <c r="B52" s="8">
        <v>1576.2</v>
      </c>
      <c r="C52" s="11">
        <f t="shared" si="3"/>
        <v>1574.3446835609718</v>
      </c>
      <c r="D52" s="11">
        <f t="shared" si="4"/>
        <v>0.59999999999990905</v>
      </c>
      <c r="E52" s="11">
        <f t="shared" si="5"/>
        <v>1570.0150146580604</v>
      </c>
      <c r="F52" s="11"/>
      <c r="G52" s="11"/>
      <c r="H52" s="12">
        <f t="shared" si="0"/>
        <v>6.1849853419396368</v>
      </c>
      <c r="I52" s="12">
        <f t="shared" si="1"/>
        <v>6.1849853419396368</v>
      </c>
      <c r="J52" s="12">
        <f t="shared" si="6"/>
        <v>38.254043680008166</v>
      </c>
      <c r="K52" s="12">
        <f t="shared" si="2"/>
        <v>0.39239851173325957</v>
      </c>
    </row>
    <row r="53" spans="1:11" x14ac:dyDescent="0.15">
      <c r="A53" s="9">
        <v>43739</v>
      </c>
      <c r="B53" s="8">
        <v>1571.7</v>
      </c>
      <c r="C53" s="11">
        <f t="shared" si="3"/>
        <v>1572.6733110779253</v>
      </c>
      <c r="D53" s="11">
        <f t="shared" si="4"/>
        <v>0.59999999999990905</v>
      </c>
      <c r="E53" s="11">
        <f t="shared" si="5"/>
        <v>1574.9446835609717</v>
      </c>
      <c r="F53" s="11"/>
      <c r="G53" s="11"/>
      <c r="H53" s="12">
        <f t="shared" si="0"/>
        <v>-3.24468356097168</v>
      </c>
      <c r="I53" s="12">
        <f t="shared" si="1"/>
        <v>3.24468356097168</v>
      </c>
      <c r="J53" s="12">
        <f t="shared" si="6"/>
        <v>10.527971410839863</v>
      </c>
      <c r="K53" s="12">
        <f t="shared" si="2"/>
        <v>0.20644420442652414</v>
      </c>
    </row>
    <row r="54" spans="1:11" x14ac:dyDescent="0.15">
      <c r="A54" s="9">
        <v>43770</v>
      </c>
      <c r="B54" s="8">
        <v>1580.8</v>
      </c>
      <c r="C54" s="11">
        <f t="shared" si="3"/>
        <v>1578.5422113527277</v>
      </c>
      <c r="D54" s="11">
        <f t="shared" si="4"/>
        <v>0.59999999999990905</v>
      </c>
      <c r="E54" s="11">
        <f t="shared" si="5"/>
        <v>1573.2733110779252</v>
      </c>
      <c r="F54" s="11"/>
      <c r="G54" s="11"/>
      <c r="H54" s="12">
        <f t="shared" si="0"/>
        <v>7.5266889220747544</v>
      </c>
      <c r="I54" s="12">
        <f t="shared" si="1"/>
        <v>7.5266889220747544</v>
      </c>
      <c r="J54" s="12">
        <f t="shared" si="6"/>
        <v>56.651046129682825</v>
      </c>
      <c r="K54" s="12">
        <f t="shared" si="2"/>
        <v>0.47613163727699614</v>
      </c>
    </row>
    <row r="55" spans="1:11" x14ac:dyDescent="0.15">
      <c r="A55" s="9">
        <v>43800</v>
      </c>
      <c r="B55" s="8">
        <v>1590.7</v>
      </c>
      <c r="C55" s="11">
        <f t="shared" si="3"/>
        <v>1587.2329982060439</v>
      </c>
      <c r="D55" s="11">
        <f t="shared" si="4"/>
        <v>0.59999999999990905</v>
      </c>
      <c r="E55" s="11">
        <f t="shared" si="5"/>
        <v>1579.1422113527276</v>
      </c>
      <c r="F55" s="11"/>
      <c r="G55" s="11"/>
      <c r="H55" s="12">
        <f t="shared" si="0"/>
        <v>11.557788647272446</v>
      </c>
      <c r="I55" s="12">
        <f t="shared" si="1"/>
        <v>11.557788647272446</v>
      </c>
      <c r="J55" s="12">
        <f t="shared" si="6"/>
        <v>133.58247841501984</v>
      </c>
      <c r="K55" s="12">
        <f t="shared" si="2"/>
        <v>0.72658506615153362</v>
      </c>
    </row>
    <row r="56" spans="1:11" x14ac:dyDescent="0.15">
      <c r="A56" s="9">
        <v>43831</v>
      </c>
      <c r="B56" s="8">
        <v>1566.5</v>
      </c>
      <c r="C56" s="11">
        <f t="shared" si="3"/>
        <v>1572.8992814982194</v>
      </c>
      <c r="D56" s="11">
        <f t="shared" si="4"/>
        <v>0.59999999999990905</v>
      </c>
      <c r="E56" s="11">
        <f t="shared" si="5"/>
        <v>1587.8329982060438</v>
      </c>
      <c r="F56" s="11"/>
      <c r="G56" s="11"/>
      <c r="H56" s="12">
        <f t="shared" si="0"/>
        <v>-21.33299820604384</v>
      </c>
      <c r="I56" s="12">
        <f t="shared" si="1"/>
        <v>21.33299820604384</v>
      </c>
      <c r="J56" s="12">
        <f t="shared" si="6"/>
        <v>455.09681245906967</v>
      </c>
      <c r="K56" s="12">
        <f t="shared" si="2"/>
        <v>1.3618256116210559</v>
      </c>
    </row>
    <row r="57" spans="1:11" x14ac:dyDescent="0.15">
      <c r="A57" s="9">
        <v>43862</v>
      </c>
      <c r="B57" s="8">
        <v>1587.1</v>
      </c>
      <c r="C57" s="11">
        <f t="shared" si="3"/>
        <v>1583.0201784282588</v>
      </c>
      <c r="D57" s="11">
        <f t="shared" si="4"/>
        <v>0.59999999999990905</v>
      </c>
      <c r="E57" s="11">
        <f t="shared" si="5"/>
        <v>1573.4992814982193</v>
      </c>
      <c r="F57" s="11"/>
      <c r="G57" s="11"/>
      <c r="H57" s="12">
        <f t="shared" si="0"/>
        <v>13.600718501780648</v>
      </c>
      <c r="I57" s="12">
        <f t="shared" si="1"/>
        <v>13.600718501780648</v>
      </c>
      <c r="J57" s="12">
        <f t="shared" si="6"/>
        <v>184.97954376467843</v>
      </c>
      <c r="K57" s="12">
        <f t="shared" si="2"/>
        <v>0.85695409878272633</v>
      </c>
    </row>
    <row r="58" spans="1:11" x14ac:dyDescent="0.15">
      <c r="A58" s="9">
        <v>43891</v>
      </c>
      <c r="B58" s="8">
        <v>1426.1</v>
      </c>
      <c r="C58" s="11">
        <f t="shared" si="3"/>
        <v>1473.3514905629424</v>
      </c>
      <c r="D58" s="11">
        <f t="shared" si="4"/>
        <v>0.59999999999990905</v>
      </c>
      <c r="E58" s="11">
        <f t="shared" si="5"/>
        <v>1583.6201784282587</v>
      </c>
      <c r="F58" s="11"/>
      <c r="G58" s="11"/>
      <c r="H58" s="12">
        <f t="shared" si="0"/>
        <v>-157.52017842825876</v>
      </c>
      <c r="I58" s="12">
        <f t="shared" si="1"/>
        <v>157.52017842825876</v>
      </c>
      <c r="J58" s="12">
        <f t="shared" si="6"/>
        <v>24812.606612070475</v>
      </c>
      <c r="K58" s="12">
        <f t="shared" si="2"/>
        <v>11.0455212417263</v>
      </c>
    </row>
    <row r="59" spans="1:11" x14ac:dyDescent="0.15">
      <c r="A59" s="9">
        <v>43922</v>
      </c>
      <c r="B59" s="8">
        <v>1241.5999999999999</v>
      </c>
      <c r="C59" s="11">
        <f t="shared" si="3"/>
        <v>1311.2987165274239</v>
      </c>
      <c r="D59" s="11">
        <f t="shared" si="4"/>
        <v>0.59999999999990905</v>
      </c>
      <c r="E59" s="11">
        <f t="shared" si="5"/>
        <v>1473.9514905629424</v>
      </c>
      <c r="F59" s="11"/>
      <c r="G59" s="11"/>
      <c r="H59" s="12">
        <f t="shared" si="0"/>
        <v>-232.35149056294244</v>
      </c>
      <c r="I59" s="12">
        <f t="shared" si="1"/>
        <v>232.35149056294244</v>
      </c>
      <c r="J59" s="12">
        <f t="shared" si="6"/>
        <v>53987.21516682113</v>
      </c>
      <c r="K59" s="12">
        <f t="shared" si="2"/>
        <v>18.713876495082353</v>
      </c>
    </row>
    <row r="60" spans="1:11" x14ac:dyDescent="0.15">
      <c r="A60" s="9">
        <v>43952</v>
      </c>
      <c r="B60" s="8">
        <v>1751.8</v>
      </c>
      <c r="C60" s="11">
        <f t="shared" si="3"/>
        <v>1619.8423577980043</v>
      </c>
      <c r="D60" s="11">
        <f t="shared" si="4"/>
        <v>0.59999999999990905</v>
      </c>
      <c r="E60" s="11">
        <f t="shared" si="5"/>
        <v>1311.8987165274239</v>
      </c>
      <c r="F60" s="11"/>
      <c r="G60" s="11"/>
      <c r="H60" s="12">
        <f t="shared" si="0"/>
        <v>439.9012834725761</v>
      </c>
      <c r="I60" s="12">
        <f t="shared" si="1"/>
        <v>439.9012834725761</v>
      </c>
      <c r="J60" s="12">
        <f t="shared" si="6"/>
        <v>193513.13920081974</v>
      </c>
      <c r="K60" s="12">
        <f t="shared" si="2"/>
        <v>25.111387342880242</v>
      </c>
    </row>
    <row r="61" spans="1:11" x14ac:dyDescent="0.15">
      <c r="A61" s="9">
        <v>43983</v>
      </c>
      <c r="B61" s="8">
        <v>1574.8</v>
      </c>
      <c r="C61" s="11">
        <f t="shared" si="3"/>
        <v>1588.4913851944693</v>
      </c>
      <c r="D61" s="11">
        <f t="shared" si="4"/>
        <v>0.59999999999990905</v>
      </c>
      <c r="E61" s="11">
        <f t="shared" si="5"/>
        <v>1620.4423577980042</v>
      </c>
      <c r="F61" s="11"/>
      <c r="G61" s="11"/>
      <c r="H61" s="12">
        <f t="shared" si="0"/>
        <v>-45.642357798004241</v>
      </c>
      <c r="I61" s="12">
        <f t="shared" si="1"/>
        <v>45.642357798004241</v>
      </c>
      <c r="J61" s="12">
        <f t="shared" si="6"/>
        <v>2083.2248253610387</v>
      </c>
      <c r="K61" s="12">
        <f t="shared" si="2"/>
        <v>2.898295516764303</v>
      </c>
    </row>
    <row r="62" spans="1:11" x14ac:dyDescent="0.15">
      <c r="A62" s="9">
        <v>44013</v>
      </c>
      <c r="B62" s="8">
        <v>1630.6</v>
      </c>
      <c r="C62" s="11">
        <f t="shared" si="3"/>
        <v>1618.1486179590786</v>
      </c>
      <c r="D62" s="11">
        <f t="shared" si="4"/>
        <v>0.59999999999990905</v>
      </c>
      <c r="E62" s="11">
        <f t="shared" si="5"/>
        <v>1589.0913851944692</v>
      </c>
      <c r="F62" s="11"/>
      <c r="G62" s="11"/>
      <c r="H62" s="12">
        <f t="shared" si="0"/>
        <v>41.508614805530669</v>
      </c>
      <c r="I62" s="12">
        <f t="shared" si="1"/>
        <v>41.508614805530669</v>
      </c>
      <c r="J62" s="12">
        <f t="shared" si="6"/>
        <v>1722.9651030739199</v>
      </c>
      <c r="K62" s="12">
        <f t="shared" si="2"/>
        <v>2.5456037535588538</v>
      </c>
    </row>
    <row r="63" spans="1:11" x14ac:dyDescent="0.15">
      <c r="A63" s="9">
        <v>44044</v>
      </c>
      <c r="B63" s="8">
        <v>1470.1</v>
      </c>
      <c r="C63" s="11">
        <f t="shared" si="3"/>
        <v>1514.6902794091029</v>
      </c>
      <c r="D63" s="11">
        <f t="shared" si="4"/>
        <v>0.59999999999990905</v>
      </c>
      <c r="E63" s="11">
        <f t="shared" si="5"/>
        <v>1618.7486179590785</v>
      </c>
      <c r="F63" s="11"/>
      <c r="G63" s="11"/>
      <c r="H63" s="12">
        <f t="shared" si="0"/>
        <v>-148.64861795907859</v>
      </c>
      <c r="I63" s="12">
        <f t="shared" si="1"/>
        <v>148.64861795907859</v>
      </c>
      <c r="J63" s="12">
        <f t="shared" si="6"/>
        <v>22096.411621144103</v>
      </c>
      <c r="K63" s="12">
        <f t="shared" si="2"/>
        <v>10.111463026942289</v>
      </c>
    </row>
    <row r="64" spans="1:11" x14ac:dyDescent="0.15">
      <c r="A64" s="9">
        <v>44075</v>
      </c>
      <c r="B64" s="8">
        <v>1466.6</v>
      </c>
      <c r="C64" s="11">
        <f t="shared" si="3"/>
        <v>1481.2056733871341</v>
      </c>
      <c r="D64" s="11">
        <f t="shared" si="4"/>
        <v>0.59999999999990905</v>
      </c>
      <c r="E64" s="11">
        <f t="shared" si="5"/>
        <v>1515.2902794091028</v>
      </c>
      <c r="F64" s="11"/>
      <c r="G64" s="11"/>
      <c r="H64" s="12">
        <f t="shared" si="0"/>
        <v>-48.690279409102914</v>
      </c>
      <c r="I64" s="12">
        <f t="shared" si="1"/>
        <v>48.690279409102914</v>
      </c>
      <c r="J64" s="12">
        <f t="shared" si="6"/>
        <v>2370.7433089365113</v>
      </c>
      <c r="K64" s="12">
        <f t="shared" si="2"/>
        <v>3.3199426843790341</v>
      </c>
    </row>
    <row r="65" spans="1:11" x14ac:dyDescent="0.15">
      <c r="A65" s="9">
        <v>44105</v>
      </c>
      <c r="B65" s="8">
        <v>1590.5</v>
      </c>
      <c r="C65" s="11">
        <f t="shared" si="3"/>
        <v>1557.8948506188854</v>
      </c>
      <c r="D65" s="11">
        <f t="shared" si="4"/>
        <v>0.59999999999990905</v>
      </c>
      <c r="E65" s="11">
        <f t="shared" si="5"/>
        <v>1481.805673387134</v>
      </c>
      <c r="F65" s="11"/>
      <c r="G65" s="11"/>
      <c r="H65" s="12">
        <f t="shared" si="0"/>
        <v>108.69432661286601</v>
      </c>
      <c r="I65" s="12">
        <f t="shared" si="1"/>
        <v>108.69432661286601</v>
      </c>
      <c r="J65" s="12">
        <f t="shared" si="6"/>
        <v>11814.456637824391</v>
      </c>
      <c r="K65" s="12">
        <f t="shared" si="2"/>
        <v>6.8339721227831509</v>
      </c>
    </row>
    <row r="66" spans="1:11" x14ac:dyDescent="0.15">
      <c r="A66" s="9">
        <v>44136</v>
      </c>
      <c r="B66" s="8">
        <v>1809</v>
      </c>
      <c r="C66" s="11">
        <f t="shared" si="3"/>
        <v>1733.8557116932088</v>
      </c>
      <c r="D66" s="11">
        <f t="shared" si="4"/>
        <v>0.59999999999990905</v>
      </c>
      <c r="E66" s="11">
        <f t="shared" si="5"/>
        <v>1558.4948506188853</v>
      </c>
      <c r="F66" s="11"/>
      <c r="G66" s="11"/>
      <c r="H66" s="12">
        <f t="shared" si="0"/>
        <v>250.50514938111473</v>
      </c>
      <c r="I66" s="12">
        <f t="shared" si="1"/>
        <v>250.50514938111473</v>
      </c>
      <c r="J66" s="12">
        <f t="shared" si="6"/>
        <v>62752.829866454609</v>
      </c>
      <c r="K66" s="12">
        <f t="shared" si="2"/>
        <v>13.8477141725326</v>
      </c>
    </row>
    <row r="67" spans="1:11" x14ac:dyDescent="0.15">
      <c r="A67" s="9">
        <v>44166</v>
      </c>
      <c r="B67" s="8">
        <v>1701</v>
      </c>
      <c r="C67" s="11">
        <f t="shared" si="3"/>
        <v>1711.0357443796838</v>
      </c>
      <c r="D67" s="11">
        <f t="shared" si="4"/>
        <v>0.59999999999990905</v>
      </c>
      <c r="E67" s="11">
        <f t="shared" si="5"/>
        <v>1734.4557116932087</v>
      </c>
      <c r="F67" s="11"/>
      <c r="G67" s="11"/>
      <c r="H67" s="12">
        <f t="shared" ref="H67:H97" si="9">B67-E67</f>
        <v>-33.455711693208741</v>
      </c>
      <c r="I67" s="12">
        <f t="shared" ref="I67:I96" si="10">ABS(H67)</f>
        <v>33.455711693208741</v>
      </c>
      <c r="J67" s="12">
        <f t="shared" si="6"/>
        <v>1119.284644899104</v>
      </c>
      <c r="K67" s="12">
        <f t="shared" ref="K67:K97" si="11">(I67/B67)*100</f>
        <v>1.9668260842568337</v>
      </c>
    </row>
    <row r="68" spans="1:11" x14ac:dyDescent="0.15">
      <c r="A68" s="9">
        <v>44197</v>
      </c>
      <c r="B68" s="8">
        <v>1678</v>
      </c>
      <c r="C68" s="11">
        <f t="shared" ref="C68:C97" si="12">$O$2*B68+(1-$O$2)*(C67+D67)</f>
        <v>1688.0897489705299</v>
      </c>
      <c r="D68" s="11">
        <f t="shared" ref="D68:D97" si="13">$O$3*(C68-C67)+(1-$O$3)*D67</f>
        <v>0.59999999999990905</v>
      </c>
      <c r="E68" s="11">
        <f t="shared" ref="E68:E97" si="14">C67+D67</f>
        <v>1711.6357443796837</v>
      </c>
      <c r="F68" s="11"/>
      <c r="G68" s="11"/>
      <c r="H68" s="12">
        <f t="shared" si="9"/>
        <v>-33.635744379683729</v>
      </c>
      <c r="I68" s="12">
        <f t="shared" si="10"/>
        <v>33.635744379683729</v>
      </c>
      <c r="J68" s="12">
        <f t="shared" ref="J68:J96" si="15">H68*H68</f>
        <v>1131.3632999754254</v>
      </c>
      <c r="K68" s="12">
        <f t="shared" si="11"/>
        <v>2.0045139677999835</v>
      </c>
    </row>
    <row r="69" spans="1:11" x14ac:dyDescent="0.15">
      <c r="A69" s="9">
        <v>44228</v>
      </c>
      <c r="B69" s="8">
        <v>1672.8</v>
      </c>
      <c r="C69" s="11">
        <f t="shared" si="12"/>
        <v>1677.5664644048793</v>
      </c>
      <c r="D69" s="11">
        <f t="shared" si="13"/>
        <v>0.59999999999990905</v>
      </c>
      <c r="E69" s="11">
        <f t="shared" si="14"/>
        <v>1688.6897489705298</v>
      </c>
      <c r="F69" s="11"/>
      <c r="G69" s="11"/>
      <c r="H69" s="12">
        <f t="shared" si="9"/>
        <v>-15.889748970529809</v>
      </c>
      <c r="I69" s="12">
        <f t="shared" si="10"/>
        <v>15.889748970529809</v>
      </c>
      <c r="J69" s="12">
        <f t="shared" si="15"/>
        <v>252.48412234645312</v>
      </c>
      <c r="K69" s="12">
        <f t="shared" si="11"/>
        <v>0.94988934544056725</v>
      </c>
    </row>
    <row r="70" spans="1:11" x14ac:dyDescent="0.15">
      <c r="A70" s="9">
        <v>44256</v>
      </c>
      <c r="B70" s="8">
        <v>1786.1</v>
      </c>
      <c r="C70" s="11">
        <f t="shared" si="12"/>
        <v>1753.723065885996</v>
      </c>
      <c r="D70" s="11">
        <f t="shared" si="13"/>
        <v>0.59999999999990905</v>
      </c>
      <c r="E70" s="11">
        <f t="shared" si="14"/>
        <v>1678.1664644048792</v>
      </c>
      <c r="F70" s="11"/>
      <c r="G70" s="11"/>
      <c r="H70" s="12">
        <f t="shared" si="9"/>
        <v>107.9335355951207</v>
      </c>
      <c r="I70" s="12">
        <f t="shared" si="10"/>
        <v>107.9335355951207</v>
      </c>
      <c r="J70" s="12">
        <f t="shared" si="15"/>
        <v>11649.648106063187</v>
      </c>
      <c r="K70" s="12">
        <f t="shared" si="11"/>
        <v>6.042972711221136</v>
      </c>
    </row>
    <row r="71" spans="1:11" x14ac:dyDescent="0.15">
      <c r="A71" s="9">
        <v>44287</v>
      </c>
      <c r="B71" s="8">
        <v>1713.6</v>
      </c>
      <c r="C71" s="11">
        <f t="shared" si="12"/>
        <v>1725.815740120448</v>
      </c>
      <c r="D71" s="11">
        <f t="shared" si="13"/>
        <v>0.59999999999990905</v>
      </c>
      <c r="E71" s="11">
        <f t="shared" si="14"/>
        <v>1754.3230658859959</v>
      </c>
      <c r="F71" s="11"/>
      <c r="G71" s="11"/>
      <c r="H71" s="12">
        <f t="shared" si="9"/>
        <v>-40.723065885995993</v>
      </c>
      <c r="I71" s="12">
        <f t="shared" si="10"/>
        <v>40.723065885995993</v>
      </c>
      <c r="J71" s="12">
        <f t="shared" si="15"/>
        <v>1658.3680951551705</v>
      </c>
      <c r="K71" s="12">
        <f t="shared" si="11"/>
        <v>2.3764627617878147</v>
      </c>
    </row>
    <row r="72" spans="1:11" x14ac:dyDescent="0.15">
      <c r="A72" s="9">
        <v>44317</v>
      </c>
      <c r="B72" s="8">
        <v>1673</v>
      </c>
      <c r="C72" s="11">
        <f t="shared" si="12"/>
        <v>1689.0231747157618</v>
      </c>
      <c r="D72" s="11">
        <f t="shared" si="13"/>
        <v>0.59999999999990905</v>
      </c>
      <c r="E72" s="11">
        <f t="shared" si="14"/>
        <v>1726.4157401204479</v>
      </c>
      <c r="F72" s="11"/>
      <c r="G72" s="11"/>
      <c r="H72" s="12">
        <f t="shared" si="9"/>
        <v>-53.415740120447936</v>
      </c>
      <c r="I72" s="12">
        <f t="shared" si="10"/>
        <v>53.415740120447936</v>
      </c>
      <c r="J72" s="12">
        <f t="shared" si="15"/>
        <v>2853.241292615231</v>
      </c>
      <c r="K72" s="12">
        <f t="shared" si="11"/>
        <v>3.1928117226806898</v>
      </c>
    </row>
    <row r="73" spans="1:11" x14ac:dyDescent="0.15">
      <c r="A73" s="9">
        <v>44348</v>
      </c>
      <c r="B73" s="8">
        <v>1566.2</v>
      </c>
      <c r="C73" s="11">
        <f t="shared" si="12"/>
        <v>1603.2233771540978</v>
      </c>
      <c r="D73" s="11">
        <f t="shared" si="13"/>
        <v>0.59999999999990905</v>
      </c>
      <c r="E73" s="11">
        <f t="shared" si="14"/>
        <v>1689.6231747157617</v>
      </c>
      <c r="F73" s="11"/>
      <c r="G73" s="11"/>
      <c r="H73" s="12">
        <f t="shared" si="9"/>
        <v>-123.42317471576166</v>
      </c>
      <c r="I73" s="12">
        <f t="shared" si="10"/>
        <v>123.42317471576166</v>
      </c>
      <c r="J73" s="12">
        <f t="shared" si="15"/>
        <v>15233.280056917429</v>
      </c>
      <c r="K73" s="12">
        <f t="shared" si="11"/>
        <v>7.8804223417035928</v>
      </c>
    </row>
    <row r="74" spans="1:11" x14ac:dyDescent="0.15">
      <c r="A74" s="9">
        <v>44378</v>
      </c>
      <c r="B74" s="8">
        <v>1395.6</v>
      </c>
      <c r="C74" s="11">
        <f t="shared" si="12"/>
        <v>1458.0609814358602</v>
      </c>
      <c r="D74" s="11">
        <f t="shared" si="13"/>
        <v>0.59999999999990905</v>
      </c>
      <c r="E74" s="11">
        <f t="shared" si="14"/>
        <v>1603.8233771540977</v>
      </c>
      <c r="F74" s="11"/>
      <c r="G74" s="11"/>
      <c r="H74" s="12">
        <f t="shared" si="9"/>
        <v>-208.22337715409776</v>
      </c>
      <c r="I74" s="12">
        <f t="shared" si="10"/>
        <v>208.22337715409776</v>
      </c>
      <c r="J74" s="12">
        <f t="shared" si="15"/>
        <v>43356.974793457644</v>
      </c>
      <c r="K74" s="12">
        <f t="shared" si="11"/>
        <v>14.919989764552721</v>
      </c>
    </row>
    <row r="75" spans="1:11" x14ac:dyDescent="0.15">
      <c r="A75" s="9">
        <v>44409</v>
      </c>
      <c r="B75" s="8">
        <v>1221.2</v>
      </c>
      <c r="C75" s="11">
        <f t="shared" si="12"/>
        <v>1292.4314157801302</v>
      </c>
      <c r="D75" s="11">
        <f t="shared" si="13"/>
        <v>0.59999999999990905</v>
      </c>
      <c r="E75" s="11">
        <f t="shared" si="14"/>
        <v>1458.6609814358601</v>
      </c>
      <c r="F75" s="11"/>
      <c r="G75" s="11"/>
      <c r="H75" s="12">
        <f t="shared" si="9"/>
        <v>-237.46098143586005</v>
      </c>
      <c r="I75" s="12">
        <f t="shared" si="10"/>
        <v>237.46098143586005</v>
      </c>
      <c r="J75" s="12">
        <f t="shared" si="15"/>
        <v>56387.717704481867</v>
      </c>
      <c r="K75" s="12">
        <f t="shared" si="11"/>
        <v>19.444888751708159</v>
      </c>
    </row>
    <row r="76" spans="1:11" x14ac:dyDescent="0.15">
      <c r="A76" s="9">
        <v>44440</v>
      </c>
      <c r="B76" s="8">
        <v>1234.5</v>
      </c>
      <c r="C76" s="11">
        <f t="shared" si="12"/>
        <v>1252.0577292253392</v>
      </c>
      <c r="D76" s="11">
        <f t="shared" si="13"/>
        <v>0.59999999999990905</v>
      </c>
      <c r="E76" s="11">
        <f t="shared" si="14"/>
        <v>1293.0314157801301</v>
      </c>
      <c r="F76" s="11"/>
      <c r="G76" s="11"/>
      <c r="H76" s="12">
        <f t="shared" si="9"/>
        <v>-58.531415780130146</v>
      </c>
      <c r="I76" s="12">
        <f t="shared" si="10"/>
        <v>58.531415780130146</v>
      </c>
      <c r="J76" s="12">
        <f t="shared" si="15"/>
        <v>3425.9266332264683</v>
      </c>
      <c r="K76" s="12">
        <f t="shared" si="11"/>
        <v>4.7413054499902918</v>
      </c>
    </row>
    <row r="77" spans="1:11" x14ac:dyDescent="0.15">
      <c r="A77" s="9">
        <v>44470</v>
      </c>
      <c r="B77" s="8">
        <v>1525.4</v>
      </c>
      <c r="C77" s="11">
        <f t="shared" si="12"/>
        <v>1443.5852194289264</v>
      </c>
      <c r="D77" s="11">
        <f t="shared" si="13"/>
        <v>0.59999999999990905</v>
      </c>
      <c r="E77" s="11">
        <f t="shared" si="14"/>
        <v>1252.6577292253392</v>
      </c>
      <c r="F77" s="11"/>
      <c r="G77" s="11"/>
      <c r="H77" s="12">
        <f t="shared" si="9"/>
        <v>272.74227077466094</v>
      </c>
      <c r="I77" s="12">
        <f t="shared" si="10"/>
        <v>272.74227077466094</v>
      </c>
      <c r="J77" s="12">
        <f t="shared" si="15"/>
        <v>74388.346267318469</v>
      </c>
      <c r="K77" s="12">
        <f t="shared" si="11"/>
        <v>17.880049218215611</v>
      </c>
    </row>
    <row r="78" spans="1:11" x14ac:dyDescent="0.15">
      <c r="A78" s="9">
        <v>44501</v>
      </c>
      <c r="B78" s="8">
        <v>1800.2</v>
      </c>
      <c r="C78" s="11">
        <f t="shared" si="12"/>
        <v>1693.4058786863066</v>
      </c>
      <c r="D78" s="11">
        <f t="shared" si="13"/>
        <v>0.59999999999990905</v>
      </c>
      <c r="E78" s="11">
        <f t="shared" si="14"/>
        <v>1444.1852194289263</v>
      </c>
      <c r="F78" s="11"/>
      <c r="G78" s="11"/>
      <c r="H78" s="12">
        <f t="shared" si="9"/>
        <v>356.01478057107374</v>
      </c>
      <c r="I78" s="12">
        <f t="shared" si="10"/>
        <v>356.01478057107374</v>
      </c>
      <c r="J78" s="12">
        <f t="shared" si="15"/>
        <v>126746.52398506978</v>
      </c>
      <c r="K78" s="12">
        <f t="shared" si="11"/>
        <v>19.776401542666022</v>
      </c>
    </row>
    <row r="79" spans="1:11" x14ac:dyDescent="0.15">
      <c r="A79" s="9">
        <v>44531</v>
      </c>
      <c r="B79" s="8">
        <v>1582.7</v>
      </c>
      <c r="C79" s="11">
        <f t="shared" si="12"/>
        <v>1616.0885393530161</v>
      </c>
      <c r="D79" s="11">
        <f t="shared" si="13"/>
        <v>0.59999999999990905</v>
      </c>
      <c r="E79" s="11">
        <f t="shared" si="14"/>
        <v>1694.0058786863065</v>
      </c>
      <c r="F79" s="11"/>
      <c r="G79" s="11"/>
      <c r="H79" s="12">
        <f t="shared" si="9"/>
        <v>-111.30587868630641</v>
      </c>
      <c r="I79" s="12">
        <f t="shared" si="10"/>
        <v>111.30587868630641</v>
      </c>
      <c r="J79" s="12">
        <f t="shared" si="15"/>
        <v>12388.99863013076</v>
      </c>
      <c r="K79" s="12">
        <f t="shared" si="11"/>
        <v>7.0326580328746076</v>
      </c>
    </row>
    <row r="80" spans="1:11" x14ac:dyDescent="0.15">
      <c r="A80" s="9">
        <v>44562</v>
      </c>
      <c r="B80" s="8">
        <v>1629.3</v>
      </c>
      <c r="C80" s="11">
        <f t="shared" si="12"/>
        <v>1625.5169271283723</v>
      </c>
      <c r="D80" s="11">
        <f t="shared" si="13"/>
        <v>0.59999999999990905</v>
      </c>
      <c r="E80" s="11">
        <f t="shared" si="14"/>
        <v>1616.688539353016</v>
      </c>
      <c r="F80" s="11"/>
      <c r="G80" s="11"/>
      <c r="H80" s="12">
        <f t="shared" si="9"/>
        <v>12.611460646983915</v>
      </c>
      <c r="I80" s="12">
        <f t="shared" si="10"/>
        <v>12.611460646983915</v>
      </c>
      <c r="J80" s="12">
        <f t="shared" si="15"/>
        <v>159.04893965042393</v>
      </c>
      <c r="K80" s="12">
        <f t="shared" si="11"/>
        <v>0.77404165267193981</v>
      </c>
    </row>
    <row r="81" spans="1:11" x14ac:dyDescent="0.15">
      <c r="A81" s="9">
        <v>44593</v>
      </c>
      <c r="B81" s="8">
        <v>1752.4</v>
      </c>
      <c r="C81" s="11">
        <f t="shared" si="12"/>
        <v>1714.518736243238</v>
      </c>
      <c r="D81" s="11">
        <f t="shared" si="13"/>
        <v>0.59999999999990905</v>
      </c>
      <c r="E81" s="11">
        <f t="shared" si="14"/>
        <v>1626.1169271283723</v>
      </c>
      <c r="F81" s="11"/>
      <c r="G81" s="11"/>
      <c r="H81" s="12">
        <f t="shared" si="9"/>
        <v>126.28307287162784</v>
      </c>
      <c r="I81" s="12">
        <f t="shared" si="10"/>
        <v>126.28307287162784</v>
      </c>
      <c r="J81" s="12">
        <f t="shared" si="15"/>
        <v>15947.414493900867</v>
      </c>
      <c r="K81" s="12">
        <f t="shared" si="11"/>
        <v>7.2062926769931419</v>
      </c>
    </row>
    <row r="82" spans="1:11" x14ac:dyDescent="0.15">
      <c r="A82" s="9">
        <v>44621</v>
      </c>
      <c r="B82" s="8">
        <v>1801.2</v>
      </c>
      <c r="C82" s="11">
        <f t="shared" si="12"/>
        <v>1775.3781144318516</v>
      </c>
      <c r="D82" s="11">
        <f t="shared" si="13"/>
        <v>0.59999999999990905</v>
      </c>
      <c r="E82" s="11">
        <f t="shared" si="14"/>
        <v>1715.1187362432379</v>
      </c>
      <c r="F82" s="11"/>
      <c r="G82" s="11"/>
      <c r="H82" s="12">
        <f t="shared" si="9"/>
        <v>86.081263756762155</v>
      </c>
      <c r="I82" s="12">
        <f t="shared" si="10"/>
        <v>86.081263756762155</v>
      </c>
      <c r="J82" s="12">
        <f t="shared" si="15"/>
        <v>7409.9839699612539</v>
      </c>
      <c r="K82" s="12">
        <f t="shared" si="11"/>
        <v>4.7791063600245476</v>
      </c>
    </row>
    <row r="83" spans="1:11" x14ac:dyDescent="0.15">
      <c r="A83" s="9">
        <v>44652</v>
      </c>
      <c r="B83" s="8">
        <v>1800.1</v>
      </c>
      <c r="C83" s="11">
        <f t="shared" si="12"/>
        <v>1792.86413308024</v>
      </c>
      <c r="D83" s="11">
        <f t="shared" si="13"/>
        <v>0.59999999999990905</v>
      </c>
      <c r="E83" s="11">
        <f t="shared" si="14"/>
        <v>1775.9781144318515</v>
      </c>
      <c r="F83" s="11"/>
      <c r="G83" s="11"/>
      <c r="H83" s="12">
        <f t="shared" si="9"/>
        <v>24.1218855681484</v>
      </c>
      <c r="I83" s="12">
        <f t="shared" si="10"/>
        <v>24.1218855681484</v>
      </c>
      <c r="J83" s="12">
        <f t="shared" si="15"/>
        <v>581.8653633628461</v>
      </c>
      <c r="K83" s="12">
        <f t="shared" si="11"/>
        <v>1.3400303076578191</v>
      </c>
    </row>
    <row r="84" spans="1:11" x14ac:dyDescent="0.15">
      <c r="A84" s="9">
        <v>44682</v>
      </c>
      <c r="B84" s="8">
        <v>1843.7</v>
      </c>
      <c r="C84" s="11">
        <f t="shared" si="12"/>
        <v>1828.6306951314727</v>
      </c>
      <c r="D84" s="11">
        <f t="shared" si="13"/>
        <v>0.59999999999990905</v>
      </c>
      <c r="E84" s="11">
        <f t="shared" si="14"/>
        <v>1793.4641330802399</v>
      </c>
      <c r="F84" s="11"/>
      <c r="G84" s="11"/>
      <c r="H84" s="12">
        <f t="shared" si="9"/>
        <v>50.235866919760156</v>
      </c>
      <c r="I84" s="12">
        <f t="shared" si="10"/>
        <v>50.235866919760156</v>
      </c>
      <c r="J84" s="12">
        <f t="shared" si="15"/>
        <v>2523.6423251798528</v>
      </c>
      <c r="K84" s="12">
        <f t="shared" si="11"/>
        <v>2.7247310798806832</v>
      </c>
    </row>
    <row r="85" spans="1:11" x14ac:dyDescent="0.15">
      <c r="A85" s="9">
        <v>44713</v>
      </c>
      <c r="B85" s="8">
        <v>1851.2</v>
      </c>
      <c r="C85" s="11">
        <f t="shared" si="12"/>
        <v>1844.609844935248</v>
      </c>
      <c r="D85" s="11">
        <f t="shared" si="13"/>
        <v>0.59999999999990905</v>
      </c>
      <c r="E85" s="11">
        <f t="shared" si="14"/>
        <v>1829.2306951314727</v>
      </c>
      <c r="F85" s="11"/>
      <c r="G85" s="11"/>
      <c r="H85" s="12">
        <f t="shared" si="9"/>
        <v>21.969304868527388</v>
      </c>
      <c r="I85" s="12">
        <f t="shared" si="10"/>
        <v>21.969304868527388</v>
      </c>
      <c r="J85" s="12">
        <f t="shared" si="15"/>
        <v>482.65035640630117</v>
      </c>
      <c r="K85" s="12">
        <f t="shared" si="11"/>
        <v>1.1867602024917561</v>
      </c>
    </row>
    <row r="86" spans="1:11" x14ac:dyDescent="0.15">
      <c r="A86" s="9">
        <v>44743</v>
      </c>
      <c r="B86" s="8">
        <v>1870.1</v>
      </c>
      <c r="C86" s="11">
        <f t="shared" si="12"/>
        <v>1862.6336744861042</v>
      </c>
      <c r="D86" s="11">
        <f t="shared" si="13"/>
        <v>0.59999999999990905</v>
      </c>
      <c r="E86" s="11">
        <f t="shared" si="14"/>
        <v>1845.2098449352479</v>
      </c>
      <c r="F86" s="11"/>
      <c r="G86" s="11"/>
      <c r="H86" s="12">
        <f t="shared" si="9"/>
        <v>24.89015506475198</v>
      </c>
      <c r="I86" s="12">
        <f t="shared" si="10"/>
        <v>24.89015506475198</v>
      </c>
      <c r="J86" s="12">
        <f t="shared" si="15"/>
        <v>619.51981914739861</v>
      </c>
      <c r="K86" s="12">
        <f t="shared" si="11"/>
        <v>1.3309531610476435</v>
      </c>
    </row>
    <row r="87" spans="1:11" x14ac:dyDescent="0.15">
      <c r="A87" s="9">
        <v>44774</v>
      </c>
      <c r="B87" s="8">
        <v>1893.2</v>
      </c>
      <c r="C87" s="11">
        <f t="shared" si="12"/>
        <v>1884.2109703953211</v>
      </c>
      <c r="D87" s="11">
        <f t="shared" si="13"/>
        <v>0.59999999999990905</v>
      </c>
      <c r="E87" s="11">
        <f t="shared" si="14"/>
        <v>1863.2336744861041</v>
      </c>
      <c r="F87" s="11"/>
      <c r="G87" s="11"/>
      <c r="H87" s="12">
        <f t="shared" si="9"/>
        <v>29.966325513895981</v>
      </c>
      <c r="I87" s="12">
        <f t="shared" si="10"/>
        <v>29.966325513895981</v>
      </c>
      <c r="J87" s="12">
        <f t="shared" si="15"/>
        <v>897.98066480477326</v>
      </c>
      <c r="K87" s="12">
        <f t="shared" si="11"/>
        <v>1.582839927841537</v>
      </c>
    </row>
    <row r="88" spans="1:11" x14ac:dyDescent="0.15">
      <c r="A88" s="9">
        <v>44805</v>
      </c>
      <c r="B88" s="8">
        <v>1887.9</v>
      </c>
      <c r="C88" s="11">
        <f t="shared" si="12"/>
        <v>1886.973380600057</v>
      </c>
      <c r="D88" s="11">
        <f t="shared" si="13"/>
        <v>0.59999999999990905</v>
      </c>
      <c r="E88" s="11">
        <f t="shared" si="14"/>
        <v>1884.810970395321</v>
      </c>
      <c r="F88" s="11"/>
      <c r="G88" s="11"/>
      <c r="H88" s="12">
        <f t="shared" si="9"/>
        <v>3.0890296046791264</v>
      </c>
      <c r="I88" s="12">
        <f t="shared" si="10"/>
        <v>3.0890296046791264</v>
      </c>
      <c r="J88" s="12">
        <f t="shared" si="15"/>
        <v>9.5421038985840791</v>
      </c>
      <c r="K88" s="12">
        <f t="shared" si="11"/>
        <v>0.16362252262721153</v>
      </c>
    </row>
    <row r="89" spans="1:11" x14ac:dyDescent="0.15">
      <c r="A89" s="9">
        <v>44835</v>
      </c>
      <c r="B89" s="8">
        <v>1895.8</v>
      </c>
      <c r="C89" s="11">
        <f t="shared" si="12"/>
        <v>1893.3322524846023</v>
      </c>
      <c r="D89" s="11">
        <f t="shared" si="13"/>
        <v>0.59999999999990905</v>
      </c>
      <c r="E89" s="11">
        <f t="shared" si="14"/>
        <v>1887.5733806000569</v>
      </c>
      <c r="F89" s="11"/>
      <c r="G89" s="11"/>
      <c r="H89" s="12">
        <f t="shared" si="9"/>
        <v>8.226619399943047</v>
      </c>
      <c r="I89" s="12">
        <f t="shared" si="10"/>
        <v>8.226619399943047</v>
      </c>
      <c r="J89" s="12">
        <f t="shared" si="15"/>
        <v>67.677266751519298</v>
      </c>
      <c r="K89" s="12">
        <f t="shared" si="11"/>
        <v>0.43393920244451145</v>
      </c>
    </row>
    <row r="90" spans="1:11" x14ac:dyDescent="0.15">
      <c r="A90" s="9">
        <v>44866</v>
      </c>
      <c r="B90" s="8">
        <v>1908.3</v>
      </c>
      <c r="C90" s="11">
        <f t="shared" si="12"/>
        <v>1903.9900919430854</v>
      </c>
      <c r="D90" s="11">
        <f t="shared" si="13"/>
        <v>0.59999999999990905</v>
      </c>
      <c r="E90" s="11">
        <f t="shared" si="14"/>
        <v>1893.9322524846023</v>
      </c>
      <c r="F90" s="11"/>
      <c r="G90" s="11"/>
      <c r="H90" s="12">
        <f t="shared" si="9"/>
        <v>14.367747515397696</v>
      </c>
      <c r="I90" s="12">
        <f t="shared" si="10"/>
        <v>14.367747515397696</v>
      </c>
      <c r="J90" s="12">
        <f t="shared" si="15"/>
        <v>206.43216866621665</v>
      </c>
      <c r="K90" s="12">
        <f t="shared" si="11"/>
        <v>0.75290821754429049</v>
      </c>
    </row>
    <row r="91" spans="1:11" x14ac:dyDescent="0.15">
      <c r="A91" s="9">
        <v>44896</v>
      </c>
      <c r="B91" s="8">
        <v>1772.8</v>
      </c>
      <c r="C91" s="11">
        <f t="shared" si="12"/>
        <v>1812.3332099536324</v>
      </c>
      <c r="D91" s="11">
        <f t="shared" si="13"/>
        <v>0.59999999999990905</v>
      </c>
      <c r="E91" s="11">
        <f t="shared" si="14"/>
        <v>1904.5900919430853</v>
      </c>
      <c r="F91" s="11"/>
      <c r="G91" s="11"/>
      <c r="H91" s="12">
        <f t="shared" si="9"/>
        <v>-131.79009194308537</v>
      </c>
      <c r="I91" s="12">
        <f t="shared" si="10"/>
        <v>131.79009194308537</v>
      </c>
      <c r="J91" s="12">
        <f t="shared" si="15"/>
        <v>17368.628334366895</v>
      </c>
      <c r="K91" s="12">
        <f t="shared" si="11"/>
        <v>7.4340078939014758</v>
      </c>
    </row>
    <row r="92" spans="1:11" x14ac:dyDescent="0.15">
      <c r="A92" s="16">
        <v>44927</v>
      </c>
      <c r="B92" s="8">
        <v>1901.5</v>
      </c>
      <c r="C92" s="11">
        <f t="shared" si="12"/>
        <v>1874.932528544449</v>
      </c>
      <c r="D92" s="11">
        <f t="shared" si="13"/>
        <v>0.59999999999990905</v>
      </c>
      <c r="E92" s="15">
        <f t="shared" si="14"/>
        <v>1812.9332099536323</v>
      </c>
      <c r="F92" s="11"/>
      <c r="G92" s="11"/>
      <c r="H92" s="12">
        <f t="shared" si="9"/>
        <v>88.566790046367714</v>
      </c>
      <c r="I92" s="12">
        <f t="shared" si="10"/>
        <v>88.566790046367714</v>
      </c>
      <c r="J92" s="12">
        <f t="shared" si="15"/>
        <v>7844.0762991173797</v>
      </c>
      <c r="K92" s="12">
        <f t="shared" si="11"/>
        <v>4.6577328449312496</v>
      </c>
    </row>
    <row r="93" spans="1:11" x14ac:dyDescent="0.15">
      <c r="A93" s="9">
        <v>44958</v>
      </c>
      <c r="B93" s="8">
        <v>1882.1</v>
      </c>
      <c r="C93" s="11">
        <f t="shared" si="12"/>
        <v>1880.1299488065542</v>
      </c>
      <c r="D93" s="11">
        <f t="shared" si="13"/>
        <v>0.59999999999990905</v>
      </c>
      <c r="E93" s="11">
        <f t="shared" si="14"/>
        <v>1875.532528544449</v>
      </c>
      <c r="F93" s="11"/>
      <c r="G93" s="11"/>
      <c r="H93" s="12">
        <f t="shared" si="9"/>
        <v>6.5674714555509581</v>
      </c>
      <c r="I93" s="12">
        <f t="shared" si="10"/>
        <v>6.5674714555509581</v>
      </c>
      <c r="J93" s="12">
        <f t="shared" si="15"/>
        <v>43.13168131947662</v>
      </c>
      <c r="K93" s="12">
        <f t="shared" si="11"/>
        <v>0.3489438104006673</v>
      </c>
    </row>
    <row r="94" spans="1:11" x14ac:dyDescent="0.15">
      <c r="A94" s="9">
        <v>44986</v>
      </c>
      <c r="B94" s="8">
        <v>1896.2</v>
      </c>
      <c r="C94" s="11">
        <f t="shared" si="12"/>
        <v>1891.5594327706513</v>
      </c>
      <c r="D94" s="11">
        <f t="shared" si="13"/>
        <v>0.59999999999990905</v>
      </c>
      <c r="E94" s="11">
        <f t="shared" si="14"/>
        <v>1880.7299488065541</v>
      </c>
      <c r="F94" s="11"/>
      <c r="G94" s="11"/>
      <c r="H94" s="12">
        <f t="shared" si="9"/>
        <v>15.470051193445897</v>
      </c>
      <c r="I94" s="12">
        <f t="shared" si="10"/>
        <v>15.470051193445897</v>
      </c>
      <c r="J94" s="12">
        <f t="shared" si="15"/>
        <v>239.32248392783683</v>
      </c>
      <c r="K94" s="12">
        <f t="shared" si="11"/>
        <v>0.8158449105287362</v>
      </c>
    </row>
    <row r="95" spans="1:11" x14ac:dyDescent="0.15">
      <c r="A95" s="9">
        <v>45017</v>
      </c>
      <c r="B95" s="8">
        <v>1915.5</v>
      </c>
      <c r="C95" s="11">
        <f t="shared" si="12"/>
        <v>1908.4985059490418</v>
      </c>
      <c r="D95" s="11">
        <f t="shared" si="13"/>
        <v>0.59999999999990905</v>
      </c>
      <c r="E95" s="11">
        <f t="shared" si="14"/>
        <v>1892.1594327706512</v>
      </c>
      <c r="F95" s="11"/>
      <c r="G95" s="11"/>
      <c r="H95" s="12">
        <f t="shared" si="9"/>
        <v>23.340567229348835</v>
      </c>
      <c r="I95" s="12">
        <f t="shared" si="10"/>
        <v>23.340567229348835</v>
      </c>
      <c r="J95" s="12">
        <f t="shared" si="15"/>
        <v>544.78207858775272</v>
      </c>
      <c r="K95" s="12">
        <f t="shared" si="11"/>
        <v>1.2185104270085532</v>
      </c>
    </row>
    <row r="96" spans="1:11" x14ac:dyDescent="0.15">
      <c r="A96" s="9">
        <v>45047</v>
      </c>
      <c r="B96" s="8">
        <v>1904.8</v>
      </c>
      <c r="C96" s="11">
        <f t="shared" si="12"/>
        <v>1906.0894272677479</v>
      </c>
      <c r="D96" s="11">
        <f t="shared" si="13"/>
        <v>0.59999999999990905</v>
      </c>
      <c r="E96" s="11">
        <f t="shared" si="14"/>
        <v>1909.0985059490417</v>
      </c>
      <c r="F96" s="11"/>
      <c r="G96" s="11"/>
      <c r="H96" s="12">
        <f t="shared" si="9"/>
        <v>-4.2985059490417825</v>
      </c>
      <c r="I96" s="12">
        <f t="shared" si="10"/>
        <v>4.2985059490417825</v>
      </c>
      <c r="J96" s="12">
        <f t="shared" si="15"/>
        <v>18.477153393947596</v>
      </c>
      <c r="K96" s="12">
        <f t="shared" si="11"/>
        <v>0.22566704898371392</v>
      </c>
    </row>
    <row r="97" spans="1:11" x14ac:dyDescent="0.15">
      <c r="A97" s="9">
        <v>45078</v>
      </c>
      <c r="B97" s="8">
        <v>1814.1</v>
      </c>
      <c r="C97" s="11">
        <f t="shared" si="12"/>
        <v>1841.8741460962272</v>
      </c>
      <c r="D97" s="11">
        <f t="shared" si="13"/>
        <v>0.59999999999990905</v>
      </c>
      <c r="E97" s="11">
        <f t="shared" si="14"/>
        <v>1906.6894272677478</v>
      </c>
      <c r="F97" s="11"/>
      <c r="G97" s="34" t="s">
        <v>88</v>
      </c>
      <c r="H97" s="12">
        <f t="shared" si="9"/>
        <v>-92.589427267747851</v>
      </c>
      <c r="I97" s="12">
        <f>ABS(H97)</f>
        <v>92.589427267747851</v>
      </c>
      <c r="J97" s="12">
        <f>H97*H97</f>
        <v>8572.8020417695698</v>
      </c>
      <c r="K97" s="12">
        <f t="shared" si="11"/>
        <v>5.1038767029241967</v>
      </c>
    </row>
    <row r="98" spans="1:11" x14ac:dyDescent="0.15">
      <c r="A98" s="9">
        <v>45108</v>
      </c>
      <c r="C98" s="8"/>
      <c r="D98" s="8"/>
      <c r="E98" s="11"/>
      <c r="F98" s="11">
        <f>$C$97+(G98*$D$97)</f>
        <v>1842.4741460962271</v>
      </c>
      <c r="G98" s="1">
        <v>1</v>
      </c>
      <c r="H98" s="12"/>
    </row>
    <row r="99" spans="1:11" x14ac:dyDescent="0.15">
      <c r="A99" s="9">
        <v>45139</v>
      </c>
      <c r="C99" s="8"/>
      <c r="D99" s="8"/>
      <c r="E99" s="11"/>
      <c r="F99" s="11">
        <f t="shared" ref="F99:F109" si="16">$C$97+(G99*$D$97)</f>
        <v>1843.074146096227</v>
      </c>
      <c r="G99" s="1">
        <v>2</v>
      </c>
      <c r="H99" s="12"/>
    </row>
    <row r="100" spans="1:11" x14ac:dyDescent="0.15">
      <c r="A100" s="9">
        <v>45170</v>
      </c>
      <c r="C100" s="8"/>
      <c r="D100" s="8"/>
      <c r="E100" s="11"/>
      <c r="F100" s="11">
        <f t="shared" si="16"/>
        <v>1843.6741460962269</v>
      </c>
      <c r="G100" s="1">
        <v>3</v>
      </c>
      <c r="H100" s="12"/>
    </row>
    <row r="101" spans="1:11" x14ac:dyDescent="0.15">
      <c r="A101" s="9">
        <v>45200</v>
      </c>
      <c r="C101" s="8"/>
      <c r="D101" s="8"/>
      <c r="E101" s="11"/>
      <c r="F101" s="11">
        <f t="shared" si="16"/>
        <v>1844.2741460962268</v>
      </c>
      <c r="G101" s="1">
        <v>4</v>
      </c>
      <c r="H101" s="12"/>
      <c r="I101" s="28" t="s">
        <v>48</v>
      </c>
      <c r="J101" s="28" t="s">
        <v>49</v>
      </c>
      <c r="K101" s="28" t="s">
        <v>50</v>
      </c>
    </row>
    <row r="102" spans="1:11" x14ac:dyDescent="0.15">
      <c r="A102" s="9">
        <v>45231</v>
      </c>
      <c r="C102" s="8"/>
      <c r="D102" s="8"/>
      <c r="E102" s="11"/>
      <c r="F102" s="11">
        <f t="shared" si="16"/>
        <v>1844.8741460962267</v>
      </c>
      <c r="G102" s="1">
        <v>5</v>
      </c>
      <c r="H102" s="12"/>
      <c r="I102" s="14">
        <f>AVERAGE(I3:I97)</f>
        <v>50.270207016896293</v>
      </c>
      <c r="J102" s="14">
        <f>AVERAGE(J3:J97)</f>
        <v>8555.2706954951918</v>
      </c>
      <c r="K102" s="24">
        <f>AVERAGE(K3:K97)</f>
        <v>3.1726995494097352</v>
      </c>
    </row>
    <row r="103" spans="1:11" x14ac:dyDescent="0.15">
      <c r="A103" s="9">
        <v>45261</v>
      </c>
      <c r="C103" s="8"/>
      <c r="D103" s="8"/>
      <c r="E103" s="11"/>
      <c r="F103" s="11">
        <f t="shared" si="16"/>
        <v>1845.4741460962266</v>
      </c>
      <c r="G103" s="1">
        <v>6</v>
      </c>
      <c r="H103" s="12"/>
      <c r="J103" s="28" t="s">
        <v>51</v>
      </c>
    </row>
    <row r="104" spans="1:11" x14ac:dyDescent="0.15">
      <c r="A104" s="9">
        <v>45292</v>
      </c>
      <c r="C104" s="8"/>
      <c r="D104" s="8"/>
      <c r="E104" s="11"/>
      <c r="F104" s="11">
        <f t="shared" si="16"/>
        <v>1846.0741460962265</v>
      </c>
      <c r="G104" s="1">
        <v>7</v>
      </c>
      <c r="H104" s="12"/>
      <c r="J104" s="14">
        <f>SQRT(J102)</f>
        <v>92.494706310659708</v>
      </c>
    </row>
    <row r="105" spans="1:11" x14ac:dyDescent="0.15">
      <c r="A105" s="9">
        <v>45323</v>
      </c>
      <c r="C105" s="8"/>
      <c r="D105" s="8"/>
      <c r="E105" s="11"/>
      <c r="F105" s="11">
        <f t="shared" si="16"/>
        <v>1846.6741460962264</v>
      </c>
      <c r="G105" s="1">
        <v>8</v>
      </c>
      <c r="H105" s="12"/>
    </row>
    <row r="106" spans="1:11" x14ac:dyDescent="0.15">
      <c r="A106" s="9">
        <v>45352</v>
      </c>
      <c r="C106" s="8"/>
      <c r="D106" s="8"/>
      <c r="E106" s="11"/>
      <c r="F106" s="11">
        <f t="shared" si="16"/>
        <v>1847.2741460962263</v>
      </c>
      <c r="G106" s="1">
        <v>9</v>
      </c>
      <c r="H106" s="12"/>
    </row>
    <row r="107" spans="1:11" x14ac:dyDescent="0.15">
      <c r="A107" s="9">
        <v>45383</v>
      </c>
      <c r="C107" s="8"/>
      <c r="D107" s="8"/>
      <c r="E107" s="11"/>
      <c r="F107" s="11">
        <f t="shared" si="16"/>
        <v>1847.8741460962262</v>
      </c>
      <c r="G107" s="1">
        <v>10</v>
      </c>
      <c r="H107" s="12"/>
    </row>
    <row r="108" spans="1:11" x14ac:dyDescent="0.15">
      <c r="A108" s="9">
        <v>45413</v>
      </c>
      <c r="C108" s="8"/>
      <c r="D108" s="8"/>
      <c r="E108" s="11"/>
      <c r="F108" s="11">
        <f t="shared" si="16"/>
        <v>1848.4741460962261</v>
      </c>
      <c r="G108" s="1">
        <v>11</v>
      </c>
      <c r="H108" s="12"/>
    </row>
    <row r="109" spans="1:11" x14ac:dyDescent="0.15">
      <c r="A109" s="16">
        <v>45444</v>
      </c>
      <c r="C109" s="8"/>
      <c r="D109" s="8"/>
      <c r="E109" s="11"/>
      <c r="F109" s="15">
        <f t="shared" si="16"/>
        <v>1849.0741460962261</v>
      </c>
      <c r="G109" s="1">
        <v>12</v>
      </c>
      <c r="H109" s="12"/>
    </row>
  </sheetData>
  <pageMargins left="0.7" right="0.7" top="0.75" bottom="0.75" header="0.3" footer="0.3"/>
  <pageSetup paperSize="0" orientation="portrait" horizontalDpi="0" verticalDpi="0" copies="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2FC5F-0484-8140-8AB5-D2D946942793}">
  <dimension ref="A1:W141"/>
  <sheetViews>
    <sheetView zoomScaleNormal="100" workbookViewId="0">
      <pane xSplit="1" ySplit="1" topLeftCell="H18" activePane="bottomRight" state="frozen"/>
      <selection pane="topRight" activeCell="B1" sqref="B1"/>
      <selection pane="bottomLeft" activeCell="A11" sqref="A11"/>
      <selection pane="bottomRight" activeCell="R35" sqref="R35"/>
    </sheetView>
  </sheetViews>
  <sheetFormatPr baseColWidth="10" defaultColWidth="14.6640625" defaultRowHeight="11" x14ac:dyDescent="0.15"/>
  <cols>
    <col min="1" max="1" width="14.6640625" style="1"/>
    <col min="2" max="2" width="18.33203125" style="1" customWidth="1"/>
    <col min="3" max="7" width="14.6640625" style="1"/>
    <col min="8" max="8" width="8" style="1" customWidth="1"/>
    <col min="9" max="16" width="14.6640625" style="1"/>
    <col min="17" max="17" width="17.83203125" style="1" bestFit="1" customWidth="1"/>
    <col min="18" max="16384" width="14.6640625" style="1"/>
  </cols>
  <sheetData>
    <row r="1" spans="1:23" s="2" customFormat="1" ht="24" x14ac:dyDescent="0.15">
      <c r="A1" s="2" t="s">
        <v>76</v>
      </c>
      <c r="B1" s="3" t="s">
        <v>77</v>
      </c>
      <c r="C1" s="1" t="s">
        <v>54</v>
      </c>
      <c r="D1" s="1" t="s">
        <v>35</v>
      </c>
      <c r="E1" s="1" t="s">
        <v>55</v>
      </c>
      <c r="F1" s="1" t="s">
        <v>84</v>
      </c>
      <c r="G1" s="1" t="s">
        <v>83</v>
      </c>
      <c r="H1" s="1"/>
      <c r="I1" s="1" t="s">
        <v>44</v>
      </c>
      <c r="J1" s="1" t="s">
        <v>45</v>
      </c>
      <c r="K1" s="1" t="s">
        <v>46</v>
      </c>
      <c r="L1" s="1" t="s">
        <v>47</v>
      </c>
      <c r="M1" s="1"/>
    </row>
    <row r="2" spans="1:23" x14ac:dyDescent="0.15">
      <c r="A2" s="9">
        <v>42186</v>
      </c>
      <c r="B2" s="8">
        <v>1540.9</v>
      </c>
      <c r="E2" s="14">
        <f>B2/$C$13</f>
        <v>0.96777029926831581</v>
      </c>
      <c r="N2" s="1" t="s">
        <v>43</v>
      </c>
      <c r="O2" s="14">
        <v>0.5</v>
      </c>
    </row>
    <row r="3" spans="1:23" x14ac:dyDescent="0.15">
      <c r="A3" s="9">
        <v>42217</v>
      </c>
      <c r="B3" s="8">
        <v>1331.9</v>
      </c>
      <c r="E3" s="14">
        <f t="shared" ref="E3:E13" si="0">B3/$C$13</f>
        <v>0.83650675682748388</v>
      </c>
      <c r="N3" s="1" t="s">
        <v>52</v>
      </c>
      <c r="O3" s="14">
        <v>0.5</v>
      </c>
    </row>
    <row r="4" spans="1:23" x14ac:dyDescent="0.15">
      <c r="A4" s="9">
        <v>42248</v>
      </c>
      <c r="B4" s="8">
        <v>1400.1</v>
      </c>
      <c r="E4" s="14">
        <f t="shared" si="0"/>
        <v>0.87934012330817624</v>
      </c>
      <c r="N4" s="1" t="s">
        <v>53</v>
      </c>
      <c r="O4" s="14">
        <v>0.5</v>
      </c>
    </row>
    <row r="5" spans="1:23" x14ac:dyDescent="0.15">
      <c r="A5" s="9">
        <v>42278</v>
      </c>
      <c r="B5" s="8">
        <v>1566.3</v>
      </c>
      <c r="E5" s="14">
        <f t="shared" si="0"/>
        <v>0.98372290203385226</v>
      </c>
    </row>
    <row r="6" spans="1:23" x14ac:dyDescent="0.15">
      <c r="A6" s="9">
        <v>42309</v>
      </c>
      <c r="B6" s="8">
        <v>1730.5</v>
      </c>
      <c r="E6" s="14">
        <f t="shared" si="0"/>
        <v>1.086849570305549</v>
      </c>
    </row>
    <row r="7" spans="1:23" ht="15" x14ac:dyDescent="0.2">
      <c r="A7" s="9">
        <v>42339</v>
      </c>
      <c r="B7" s="8">
        <v>2913.6</v>
      </c>
      <c r="C7" s="10"/>
      <c r="E7" s="14">
        <f t="shared" si="0"/>
        <v>1.8299017093569763</v>
      </c>
      <c r="N7"/>
      <c r="O7"/>
      <c r="P7" s="17" t="s">
        <v>57</v>
      </c>
      <c r="Q7" s="17"/>
      <c r="R7"/>
    </row>
    <row r="8" spans="1:23" ht="15" x14ac:dyDescent="0.2">
      <c r="A8" s="9">
        <v>42370</v>
      </c>
      <c r="B8" s="8">
        <v>1519.2</v>
      </c>
      <c r="E8" s="14">
        <f t="shared" si="0"/>
        <v>0.95414150084264093</v>
      </c>
      <c r="N8"/>
      <c r="O8" s="18" t="s">
        <v>58</v>
      </c>
      <c r="P8" s="18" t="s">
        <v>59</v>
      </c>
      <c r="Q8" s="18" t="s">
        <v>60</v>
      </c>
      <c r="R8" s="18" t="s">
        <v>61</v>
      </c>
      <c r="T8" s="1" t="s">
        <v>78</v>
      </c>
      <c r="V8" s="1" t="s">
        <v>43</v>
      </c>
      <c r="W8" s="25">
        <v>0.05</v>
      </c>
    </row>
    <row r="9" spans="1:23" ht="15" x14ac:dyDescent="0.2">
      <c r="A9" s="9">
        <v>42401</v>
      </c>
      <c r="B9" s="8">
        <v>1155.8</v>
      </c>
      <c r="E9" s="14">
        <f t="shared" si="0"/>
        <v>0.72590623135461052</v>
      </c>
      <c r="N9" t="s">
        <v>70</v>
      </c>
      <c r="O9" s="8">
        <v>1540.9</v>
      </c>
      <c r="P9" s="8">
        <v>1468.3</v>
      </c>
      <c r="Q9" s="20">
        <f>P9-O9</f>
        <v>-72.600000000000136</v>
      </c>
      <c r="R9" s="20">
        <f>Q9/12</f>
        <v>-6.0500000000000114</v>
      </c>
    </row>
    <row r="10" spans="1:23" ht="15" x14ac:dyDescent="0.2">
      <c r="A10" s="9">
        <v>42430</v>
      </c>
      <c r="B10" s="8">
        <v>1451.5</v>
      </c>
      <c r="E10" s="14">
        <f t="shared" si="0"/>
        <v>0.9116221619754431</v>
      </c>
      <c r="N10" t="s">
        <v>71</v>
      </c>
      <c r="O10" s="8">
        <v>1331.9</v>
      </c>
      <c r="P10" s="8">
        <v>1293.9000000000001</v>
      </c>
      <c r="Q10" s="20">
        <f t="shared" ref="Q10:Q20" si="1">P10-O10</f>
        <v>-38</v>
      </c>
      <c r="R10" s="20">
        <f t="shared" ref="R10:R20" si="2">Q10/12</f>
        <v>-3.1666666666666665</v>
      </c>
      <c r="T10" s="26" t="s">
        <v>80</v>
      </c>
      <c r="U10" s="26" t="s">
        <v>79</v>
      </c>
      <c r="V10" s="26" t="s">
        <v>81</v>
      </c>
      <c r="W10" s="26" t="s">
        <v>82</v>
      </c>
    </row>
    <row r="11" spans="1:23" ht="15" x14ac:dyDescent="0.2">
      <c r="A11" s="9">
        <v>42461</v>
      </c>
      <c r="B11" s="8">
        <v>1451</v>
      </c>
      <c r="E11" s="14">
        <f t="shared" si="0"/>
        <v>0.91130813436194835</v>
      </c>
      <c r="N11" t="s">
        <v>72</v>
      </c>
      <c r="O11" s="8">
        <v>1400.1</v>
      </c>
      <c r="P11" s="8">
        <v>1393.5</v>
      </c>
      <c r="Q11" s="20">
        <f t="shared" si="1"/>
        <v>-6.5999999999999091</v>
      </c>
      <c r="R11" s="20">
        <f t="shared" si="2"/>
        <v>-0.54999999999999238</v>
      </c>
    </row>
    <row r="12" spans="1:23" ht="15" x14ac:dyDescent="0.2">
      <c r="A12" s="9">
        <v>42491</v>
      </c>
      <c r="B12" s="8">
        <v>1449.7</v>
      </c>
      <c r="E12" s="14">
        <f t="shared" si="0"/>
        <v>0.91049166256686187</v>
      </c>
      <c r="N12" t="s">
        <v>73</v>
      </c>
      <c r="O12" s="8">
        <v>1566.3</v>
      </c>
      <c r="P12" s="8">
        <v>1497.4</v>
      </c>
      <c r="Q12" s="20">
        <f t="shared" si="1"/>
        <v>-68.899999999999864</v>
      </c>
      <c r="R12" s="20">
        <f t="shared" si="2"/>
        <v>-5.7416666666666556</v>
      </c>
      <c r="T12" s="1">
        <f>T11+1</f>
        <v>1</v>
      </c>
      <c r="U12" s="1">
        <f>[1]!ACF($I$14:$I$97,T12)</f>
        <v>5.0967968925710434E-2</v>
      </c>
      <c r="V12" s="1">
        <f>-W12</f>
        <v>-0.21384960282242985</v>
      </c>
      <c r="W12" s="1">
        <f>_xlfn.NORM.S.INV(1-$W$8/2)/SQRT(COUNT($I$14:$I$97))</f>
        <v>0.21384960282242985</v>
      </c>
    </row>
    <row r="13" spans="1:23" ht="15" x14ac:dyDescent="0.2">
      <c r="A13" s="9">
        <v>42522</v>
      </c>
      <c r="B13" s="8">
        <v>1596.1</v>
      </c>
      <c r="C13" s="8">
        <f>AVERAGE(B2:B13)</f>
        <v>1592.2166666666665</v>
      </c>
      <c r="D13" s="14">
        <f>R22</f>
        <v>-3.440277777777776</v>
      </c>
      <c r="E13" s="14">
        <f t="shared" si="0"/>
        <v>1.002438947798143</v>
      </c>
      <c r="N13" t="s">
        <v>62</v>
      </c>
      <c r="O13" s="8">
        <v>1730.5</v>
      </c>
      <c r="P13" s="8">
        <v>1684.3</v>
      </c>
      <c r="Q13" s="20">
        <f t="shared" si="1"/>
        <v>-46.200000000000045</v>
      </c>
      <c r="R13" s="20">
        <f t="shared" si="2"/>
        <v>-3.8500000000000036</v>
      </c>
      <c r="T13" s="1">
        <f t="shared" ref="T13:T35" si="3">T12+1</f>
        <v>2</v>
      </c>
      <c r="U13" s="1">
        <f>[1]!ACF($I$14:$I$97,T13)</f>
        <v>-0.25786454038139028</v>
      </c>
      <c r="V13" s="1">
        <f>-W13</f>
        <v>-0.21440440749198764</v>
      </c>
      <c r="W13" s="1">
        <f>_xlfn.NORM.S.INV(1-$W$8/2)*SQRT((1+2*SUMSQ(U$12:U12))/COUNT($I$14:$I$97))</f>
        <v>0.21440440749198764</v>
      </c>
    </row>
    <row r="14" spans="1:23" ht="15" x14ac:dyDescent="0.2">
      <c r="A14" s="9">
        <v>42552</v>
      </c>
      <c r="B14" s="8">
        <v>1468.3</v>
      </c>
      <c r="C14" s="14">
        <f>$O$2*(B14/E2)+(1-$O$2)*(C13+D13)</f>
        <v>1552.987627135296</v>
      </c>
      <c r="D14" s="14">
        <f>$O$3*(C14-C13)+(1-$O$3)*D13</f>
        <v>-21.334658654574145</v>
      </c>
      <c r="E14" s="14">
        <f>$O$4*(B14/C14)+(1-$O$4)*E2</f>
        <v>0.95661911555392698</v>
      </c>
      <c r="F14" s="14">
        <f>(C13+D13)*E2</f>
        <v>1537.5706013454339</v>
      </c>
      <c r="G14" s="14"/>
      <c r="I14" s="12">
        <f>B14-F14</f>
        <v>-69.270601345433988</v>
      </c>
      <c r="J14" s="12">
        <f>ABS(I14)</f>
        <v>69.270601345433988</v>
      </c>
      <c r="K14" s="12">
        <f>I14*I14</f>
        <v>4798.4162107580414</v>
      </c>
      <c r="L14" s="12">
        <f>(J14/B14)*100</f>
        <v>4.7177416975709319</v>
      </c>
      <c r="N14" t="s">
        <v>63</v>
      </c>
      <c r="O14" s="8">
        <v>2913.6</v>
      </c>
      <c r="P14" s="8">
        <v>2850.4</v>
      </c>
      <c r="Q14" s="20">
        <f t="shared" si="1"/>
        <v>-63.199999999999818</v>
      </c>
      <c r="R14" s="20">
        <f t="shared" si="2"/>
        <v>-5.2666666666666515</v>
      </c>
      <c r="T14" s="1">
        <f t="shared" si="3"/>
        <v>3</v>
      </c>
      <c r="U14" s="1">
        <f>[1]!ACF($I$14:$I$97,T14)</f>
        <v>-0.21895285764279226</v>
      </c>
      <c r="V14" s="1">
        <f t="shared" ref="V14:V35" si="4">-W14</f>
        <v>-0.22814693084868115</v>
      </c>
      <c r="W14" s="1">
        <f>_xlfn.NORM.S.INV(1-$W$8/2)*SQRT((1+2*SUMSQ(U$12:U13))/COUNT($I$14:$I$97))</f>
        <v>0.22814693084868115</v>
      </c>
    </row>
    <row r="15" spans="1:23" ht="15" x14ac:dyDescent="0.2">
      <c r="A15" s="9">
        <v>42583</v>
      </c>
      <c r="B15" s="8">
        <v>1293.9000000000001</v>
      </c>
      <c r="C15" s="14">
        <f t="shared" ref="C15:C78" si="5">$O$2*(B15/E3)+(1-$O$2)*(C14+D14)</f>
        <v>1539.2213130563377</v>
      </c>
      <c r="D15" s="14">
        <f t="shared" ref="D15:D78" si="6">$O$3*(C15-C14)+(1-$O$3)*D14</f>
        <v>-17.550486366766172</v>
      </c>
      <c r="E15" s="14">
        <f t="shared" ref="E15:E78" si="7">$O$4*(B15/C15)+(1-$O$4)*E3</f>
        <v>0.83856330689010306</v>
      </c>
      <c r="F15" s="14">
        <f t="shared" ref="F15:F78" si="8">(C14+D14)*E3</f>
        <v>1281.2380572489969</v>
      </c>
      <c r="G15" s="14"/>
      <c r="I15" s="12">
        <f t="shared" ref="I15:I77" si="9">B15-F15</f>
        <v>12.661942751003153</v>
      </c>
      <c r="J15" s="12">
        <f t="shared" ref="J15:J79" si="10">ABS(I15)</f>
        <v>12.661942751003153</v>
      </c>
      <c r="K15" s="12">
        <f t="shared" ref="K15:K77" si="11">I15*I15</f>
        <v>160.32479422968129</v>
      </c>
      <c r="L15" s="12">
        <f t="shared" ref="L15:L77" si="12">(J15/B15)*100</f>
        <v>0.978587429554305</v>
      </c>
      <c r="N15" t="s">
        <v>64</v>
      </c>
      <c r="O15" s="8">
        <v>1519.2</v>
      </c>
      <c r="P15" s="8">
        <v>1428.5</v>
      </c>
      <c r="Q15" s="20">
        <f t="shared" si="1"/>
        <v>-90.700000000000045</v>
      </c>
      <c r="R15" s="20">
        <f t="shared" si="2"/>
        <v>-7.5583333333333371</v>
      </c>
      <c r="T15" s="1">
        <f t="shared" si="3"/>
        <v>4</v>
      </c>
      <c r="U15" s="1">
        <f>[1]!ACF($I$14:$I$97,T15)</f>
        <v>-1.3744042723744984E-2</v>
      </c>
      <c r="V15" s="1">
        <f t="shared" si="4"/>
        <v>-0.23756221348458231</v>
      </c>
      <c r="W15" s="1">
        <f>_xlfn.NORM.S.INV(1-$W$8/2)*SQRT((1+2*SUMSQ(U$12:U14))/COUNT($I$14:$I$97))</f>
        <v>0.23756221348458231</v>
      </c>
    </row>
    <row r="16" spans="1:23" ht="15" x14ac:dyDescent="0.2">
      <c r="A16" s="9">
        <v>42614</v>
      </c>
      <c r="B16" s="8">
        <v>1393.5</v>
      </c>
      <c r="C16" s="14">
        <f t="shared" si="5"/>
        <v>1553.1909325934109</v>
      </c>
      <c r="D16" s="14">
        <f t="shared" si="6"/>
        <v>-1.7904334148464933</v>
      </c>
      <c r="E16" s="14">
        <f t="shared" si="7"/>
        <v>0.88826268821328069</v>
      </c>
      <c r="F16" s="14">
        <f t="shared" si="8"/>
        <v>1338.0662123756624</v>
      </c>
      <c r="G16" s="14"/>
      <c r="I16" s="12">
        <f t="shared" si="9"/>
        <v>55.433787624337583</v>
      </c>
      <c r="J16" s="12">
        <f t="shared" si="10"/>
        <v>55.433787624337583</v>
      </c>
      <c r="K16" s="12">
        <f t="shared" si="11"/>
        <v>3072.9048103801624</v>
      </c>
      <c r="L16" s="12">
        <f t="shared" si="12"/>
        <v>3.9780256637486606</v>
      </c>
      <c r="N16" t="s">
        <v>65</v>
      </c>
      <c r="O16" s="8">
        <v>1155.8</v>
      </c>
      <c r="P16" s="8">
        <v>1092.4000000000001</v>
      </c>
      <c r="Q16" s="20">
        <f t="shared" si="1"/>
        <v>-63.399999999999864</v>
      </c>
      <c r="R16" s="20">
        <f t="shared" si="2"/>
        <v>-5.2833333333333217</v>
      </c>
      <c r="T16" s="1">
        <f t="shared" si="3"/>
        <v>5</v>
      </c>
      <c r="U16" s="1">
        <f>[1]!ACF($I$14:$I$97,T16)</f>
        <v>4.7605320937507807E-2</v>
      </c>
      <c r="V16" s="1">
        <f t="shared" si="4"/>
        <v>-0.23759857444038895</v>
      </c>
      <c r="W16" s="1">
        <f>_xlfn.NORM.S.INV(1-$W$8/2)*SQRT((1+2*SUMSQ(U$12:U15))/COUNT($I$14:$I$97))</f>
        <v>0.23759857444038895</v>
      </c>
    </row>
    <row r="17" spans="1:23" ht="15" x14ac:dyDescent="0.2">
      <c r="A17" s="9">
        <v>42644</v>
      </c>
      <c r="B17" s="8">
        <v>1497.4</v>
      </c>
      <c r="C17" s="14">
        <f t="shared" si="5"/>
        <v>1536.7885585552103</v>
      </c>
      <c r="D17" s="14">
        <f t="shared" si="6"/>
        <v>-9.0964037265235493</v>
      </c>
      <c r="E17" s="14">
        <f t="shared" si="7"/>
        <v>0.97904623374583943</v>
      </c>
      <c r="F17" s="14">
        <f t="shared" si="8"/>
        <v>1526.1482012687043</v>
      </c>
      <c r="G17" s="14"/>
      <c r="I17" s="12">
        <f t="shared" si="9"/>
        <v>-28.748201268704179</v>
      </c>
      <c r="J17" s="12">
        <f t="shared" si="10"/>
        <v>28.748201268704179</v>
      </c>
      <c r="K17" s="12">
        <f t="shared" si="11"/>
        <v>826.45907618592457</v>
      </c>
      <c r="L17" s="12">
        <f t="shared" si="12"/>
        <v>1.9198745337721503</v>
      </c>
      <c r="N17" t="s">
        <v>66</v>
      </c>
      <c r="O17" s="8">
        <v>1451.5</v>
      </c>
      <c r="P17" s="8">
        <v>1370.3</v>
      </c>
      <c r="Q17" s="20">
        <f t="shared" si="1"/>
        <v>-81.200000000000045</v>
      </c>
      <c r="R17" s="20">
        <f t="shared" si="2"/>
        <v>-6.7666666666666702</v>
      </c>
      <c r="T17" s="1">
        <f t="shared" si="3"/>
        <v>6</v>
      </c>
      <c r="U17" s="1">
        <f>[1]!ACF($I$14:$I$97,T17)</f>
        <v>1.1060376227369672E-2</v>
      </c>
      <c r="V17" s="1">
        <f t="shared" si="4"/>
        <v>-0.23803437316539583</v>
      </c>
      <c r="W17" s="1">
        <f>_xlfn.NORM.S.INV(1-$W$8/2)*SQRT((1+2*SUMSQ(U$12:U16))/COUNT($I$14:$I$97))</f>
        <v>0.23803437316539583</v>
      </c>
    </row>
    <row r="18" spans="1:23" ht="15" x14ac:dyDescent="0.2">
      <c r="A18" s="9">
        <v>42675</v>
      </c>
      <c r="B18" s="8">
        <v>1684.3</v>
      </c>
      <c r="C18" s="14">
        <f t="shared" si="5"/>
        <v>1538.7003194445851</v>
      </c>
      <c r="D18" s="14">
        <f t="shared" si="6"/>
        <v>-3.5923214185743655</v>
      </c>
      <c r="E18" s="14">
        <f t="shared" si="7"/>
        <v>1.0907373380636529</v>
      </c>
      <c r="F18" s="14">
        <f t="shared" si="8"/>
        <v>1660.3715620347166</v>
      </c>
      <c r="G18" s="14"/>
      <c r="I18" s="12">
        <f t="shared" si="9"/>
        <v>23.928437965283365</v>
      </c>
      <c r="J18" s="12">
        <f t="shared" si="10"/>
        <v>23.928437965283365</v>
      </c>
      <c r="K18" s="12">
        <f t="shared" si="11"/>
        <v>572.57014345841435</v>
      </c>
      <c r="L18" s="12">
        <f t="shared" si="12"/>
        <v>1.4206755308011261</v>
      </c>
      <c r="N18" t="s">
        <v>67</v>
      </c>
      <c r="O18" s="8">
        <v>1451</v>
      </c>
      <c r="P18" s="8">
        <v>1522.6</v>
      </c>
      <c r="Q18" s="20">
        <f t="shared" si="1"/>
        <v>71.599999999999909</v>
      </c>
      <c r="R18" s="20">
        <f t="shared" si="2"/>
        <v>5.9666666666666588</v>
      </c>
      <c r="T18" s="1">
        <f t="shared" si="3"/>
        <v>7</v>
      </c>
      <c r="U18" s="1">
        <f>[1]!ACF($I$14:$I$97,T18)</f>
        <v>-0.1092009666216827</v>
      </c>
      <c r="V18" s="1">
        <f t="shared" si="4"/>
        <v>-0.23805787466537168</v>
      </c>
      <c r="W18" s="1">
        <f>_xlfn.NORM.S.INV(1-$W$8/2)*SQRT((1+2*SUMSQ(U$12:U17))/COUNT($I$14:$I$97))</f>
        <v>0.23805787466537168</v>
      </c>
    </row>
    <row r="19" spans="1:23" ht="15" x14ac:dyDescent="0.2">
      <c r="A19" s="9">
        <v>42705</v>
      </c>
      <c r="B19" s="8">
        <v>2850.4</v>
      </c>
      <c r="C19" s="14">
        <f t="shared" si="5"/>
        <v>1546.393645269641</v>
      </c>
      <c r="D19" s="14">
        <f t="shared" si="6"/>
        <v>2.0505022032407214</v>
      </c>
      <c r="E19" s="14">
        <f t="shared" si="7"/>
        <v>1.8365790599932423</v>
      </c>
      <c r="F19" s="14">
        <f t="shared" si="8"/>
        <v>2809.0967496353628</v>
      </c>
      <c r="G19" s="14"/>
      <c r="I19" s="12">
        <f t="shared" si="9"/>
        <v>41.303250364637279</v>
      </c>
      <c r="J19" s="12">
        <f t="shared" si="10"/>
        <v>41.303250364637279</v>
      </c>
      <c r="K19" s="12">
        <f t="shared" si="11"/>
        <v>1705.9584906839095</v>
      </c>
      <c r="L19" s="12">
        <f t="shared" si="12"/>
        <v>1.4490334817793038</v>
      </c>
      <c r="N19" t="s">
        <v>68</v>
      </c>
      <c r="O19" s="8">
        <v>1449.7</v>
      </c>
      <c r="P19" s="8">
        <v>1452.4</v>
      </c>
      <c r="Q19" s="20">
        <f t="shared" si="1"/>
        <v>2.7000000000000455</v>
      </c>
      <c r="R19" s="20">
        <f t="shared" si="2"/>
        <v>0.22500000000000378</v>
      </c>
      <c r="T19" s="1">
        <f t="shared" si="3"/>
        <v>8</v>
      </c>
      <c r="U19" s="1">
        <f>[1]!ACF($I$14:$I$97,T19)</f>
        <v>-2.1835182554443631E-2</v>
      </c>
      <c r="V19" s="1">
        <f t="shared" si="4"/>
        <v>-0.24033775813942587</v>
      </c>
      <c r="W19" s="1">
        <f>_xlfn.NORM.S.INV(1-$W$8/2)*SQRT((1+2*SUMSQ(U$12:U18))/COUNT($I$14:$I$97))</f>
        <v>0.24033775813942587</v>
      </c>
    </row>
    <row r="20" spans="1:23" ht="15" x14ac:dyDescent="0.2">
      <c r="A20" s="9">
        <v>42736</v>
      </c>
      <c r="B20" s="8">
        <v>1428.5</v>
      </c>
      <c r="C20" s="14">
        <f t="shared" si="5"/>
        <v>1522.8007692121296</v>
      </c>
      <c r="D20" s="14">
        <f t="shared" si="6"/>
        <v>-10.771186927135327</v>
      </c>
      <c r="E20" s="14">
        <f t="shared" si="7"/>
        <v>0.94610781320763659</v>
      </c>
      <c r="F20" s="14">
        <f t="shared" si="8"/>
        <v>1477.4348228407789</v>
      </c>
      <c r="G20" s="14"/>
      <c r="I20" s="12">
        <f t="shared" si="9"/>
        <v>-48.934822840778907</v>
      </c>
      <c r="J20" s="12">
        <f t="shared" si="10"/>
        <v>48.934822840778907</v>
      </c>
      <c r="K20" s="12">
        <f t="shared" si="11"/>
        <v>2394.616886458417</v>
      </c>
      <c r="L20" s="12">
        <f t="shared" si="12"/>
        <v>3.4256088792984882</v>
      </c>
      <c r="N20" t="s">
        <v>69</v>
      </c>
      <c r="O20" s="8">
        <v>1596.1</v>
      </c>
      <c r="P20" s="8">
        <v>1557.2</v>
      </c>
      <c r="Q20" s="20">
        <f t="shared" si="1"/>
        <v>-38.899999999999864</v>
      </c>
      <c r="R20" s="20">
        <f t="shared" si="2"/>
        <v>-3.2416666666666551</v>
      </c>
      <c r="T20" s="1">
        <f t="shared" si="3"/>
        <v>9</v>
      </c>
      <c r="U20" s="1">
        <f>[1]!ACF($I$14:$I$97,T20)</f>
        <v>3.0277755090328557E-2</v>
      </c>
      <c r="V20" s="1">
        <f t="shared" si="4"/>
        <v>-0.2404284621730198</v>
      </c>
      <c r="W20" s="1">
        <f>_xlfn.NORM.S.INV(1-$W$8/2)*SQRT((1+2*SUMSQ(U$12:U19))/COUNT($I$14:$I$97))</f>
        <v>0.2404284621730198</v>
      </c>
    </row>
    <row r="21" spans="1:23" ht="15" x14ac:dyDescent="0.2">
      <c r="A21" s="9">
        <v>42767</v>
      </c>
      <c r="B21" s="8">
        <v>1092.4000000000001</v>
      </c>
      <c r="C21" s="14">
        <f t="shared" si="5"/>
        <v>1508.4535723618546</v>
      </c>
      <c r="D21" s="14">
        <f t="shared" si="6"/>
        <v>-12.559191888705133</v>
      </c>
      <c r="E21" s="14">
        <f t="shared" si="7"/>
        <v>0.72504579788348655</v>
      </c>
      <c r="F21" s="14">
        <f t="shared" si="8"/>
        <v>1097.5916957731861</v>
      </c>
      <c r="G21" s="14"/>
      <c r="I21" s="12">
        <f t="shared" si="9"/>
        <v>-5.1916957731859839</v>
      </c>
      <c r="J21" s="12">
        <f t="shared" si="10"/>
        <v>5.1916957731859839</v>
      </c>
      <c r="K21" s="12">
        <f t="shared" si="11"/>
        <v>26.953705001317211</v>
      </c>
      <c r="L21" s="12">
        <f t="shared" si="12"/>
        <v>0.47525592943848255</v>
      </c>
      <c r="N21"/>
      <c r="O21"/>
      <c r="P21"/>
      <c r="Q21"/>
      <c r="R21"/>
      <c r="T21" s="1">
        <f t="shared" si="3"/>
        <v>10</v>
      </c>
      <c r="U21" s="1">
        <f>[1]!ACF($I$14:$I$97,T21)</f>
        <v>-5.4694263594644354E-2</v>
      </c>
      <c r="V21" s="1">
        <f t="shared" si="4"/>
        <v>-0.24060277163351665</v>
      </c>
      <c r="W21" s="1">
        <f>_xlfn.NORM.S.INV(1-$W$8/2)*SQRT((1+2*SUMSQ(U$12:U20))/COUNT($I$14:$I$97))</f>
        <v>0.24060277163351665</v>
      </c>
    </row>
    <row r="22" spans="1:23" ht="15" x14ac:dyDescent="0.2">
      <c r="A22" s="9">
        <v>42795</v>
      </c>
      <c r="B22" s="8">
        <v>1370.3</v>
      </c>
      <c r="C22" s="14">
        <f t="shared" si="5"/>
        <v>1499.5195286221528</v>
      </c>
      <c r="D22" s="14">
        <f t="shared" si="6"/>
        <v>-10.746617814203463</v>
      </c>
      <c r="E22" s="14">
        <f t="shared" si="7"/>
        <v>0.912724103407347</v>
      </c>
      <c r="F22" s="14">
        <f t="shared" si="8"/>
        <v>1363.6904692138487</v>
      </c>
      <c r="G22" s="14"/>
      <c r="I22" s="12">
        <f t="shared" si="9"/>
        <v>6.6095307861512538</v>
      </c>
      <c r="J22" s="12">
        <f t="shared" si="10"/>
        <v>6.6095307861512538</v>
      </c>
      <c r="K22" s="12">
        <f t="shared" si="11"/>
        <v>43.685897213081212</v>
      </c>
      <c r="L22" s="12">
        <f t="shared" si="12"/>
        <v>0.48234188032921649</v>
      </c>
      <c r="N22"/>
      <c r="O22"/>
      <c r="P22"/>
      <c r="Q22" s="19" t="s">
        <v>74</v>
      </c>
      <c r="R22" s="21">
        <f>AVERAGE(R9:R20)</f>
        <v>-3.440277777777776</v>
      </c>
      <c r="T22" s="1">
        <f t="shared" si="3"/>
        <v>11</v>
      </c>
      <c r="U22" s="1">
        <f>[1]!ACF($I$14:$I$97,T22)</f>
        <v>-0.14428079220972603</v>
      </c>
      <c r="V22" s="1">
        <f t="shared" si="4"/>
        <v>-0.2411706921721547</v>
      </c>
      <c r="W22" s="1">
        <f>_xlfn.NORM.S.INV(1-$W$8/2)*SQRT((1+2*SUMSQ(U$12:U21))/COUNT($I$14:$I$97))</f>
        <v>0.2411706921721547</v>
      </c>
    </row>
    <row r="23" spans="1:23" x14ac:dyDescent="0.15">
      <c r="A23" s="9">
        <v>42826</v>
      </c>
      <c r="B23" s="8">
        <v>1522.6</v>
      </c>
      <c r="C23" s="14">
        <f t="shared" si="5"/>
        <v>1579.7789766536873</v>
      </c>
      <c r="D23" s="14">
        <f t="shared" si="6"/>
        <v>34.756415108665507</v>
      </c>
      <c r="E23" s="14">
        <f t="shared" si="7"/>
        <v>0.93755692273903302</v>
      </c>
      <c r="F23" s="14">
        <f t="shared" si="8"/>
        <v>1356.7308638369996</v>
      </c>
      <c r="G23" s="14"/>
      <c r="I23" s="12">
        <f t="shared" si="9"/>
        <v>165.86913616300035</v>
      </c>
      <c r="J23" s="12">
        <f t="shared" si="10"/>
        <v>165.86913616300035</v>
      </c>
      <c r="K23" s="12">
        <f t="shared" si="11"/>
        <v>27512.570331459949</v>
      </c>
      <c r="L23" s="12">
        <f t="shared" si="12"/>
        <v>10.893809021607801</v>
      </c>
      <c r="T23" s="1">
        <f t="shared" si="3"/>
        <v>12</v>
      </c>
      <c r="U23" s="1">
        <f>[1]!ACF($I$14:$I$97,T23)</f>
        <v>0.10304203551656956</v>
      </c>
      <c r="V23" s="1">
        <f t="shared" si="4"/>
        <v>-0.24508628998943907</v>
      </c>
      <c r="W23" s="1">
        <f>_xlfn.NORM.S.INV(1-$W$8/2)*SQRT((1+2*SUMSQ(U$12:U22))/COUNT($I$14:$I$97))</f>
        <v>0.24508628998943907</v>
      </c>
    </row>
    <row r="24" spans="1:23" x14ac:dyDescent="0.15">
      <c r="A24" s="9">
        <v>42856</v>
      </c>
      <c r="B24" s="8">
        <v>1452.4</v>
      </c>
      <c r="C24" s="14">
        <f t="shared" si="5"/>
        <v>1604.8587446039005</v>
      </c>
      <c r="D24" s="14">
        <f t="shared" si="6"/>
        <v>29.918091529439344</v>
      </c>
      <c r="E24" s="14">
        <f t="shared" si="7"/>
        <v>0.90774671489187297</v>
      </c>
      <c r="F24" s="14">
        <f t="shared" si="8"/>
        <v>1470.0210131187443</v>
      </c>
      <c r="G24" s="14"/>
      <c r="I24" s="12">
        <f t="shared" si="9"/>
        <v>-17.621013118744258</v>
      </c>
      <c r="J24" s="12">
        <f t="shared" si="10"/>
        <v>17.621013118744258</v>
      </c>
      <c r="K24" s="12">
        <f t="shared" si="11"/>
        <v>310.50010333095724</v>
      </c>
      <c r="L24" s="12">
        <f t="shared" si="12"/>
        <v>1.2132341723178366</v>
      </c>
      <c r="T24" s="1">
        <f t="shared" si="3"/>
        <v>13</v>
      </c>
      <c r="U24" s="1">
        <f>[1]!ACF($I$14:$I$97,T24)</f>
        <v>1.1740853549522406E-3</v>
      </c>
      <c r="V24" s="1">
        <f t="shared" si="4"/>
        <v>-0.24705953921585044</v>
      </c>
      <c r="W24" s="1">
        <f>_xlfn.NORM.S.INV(1-$W$8/2)*SQRT((1+2*SUMSQ(U$12:U23))/COUNT($I$14:$I$97))</f>
        <v>0.24705953921585044</v>
      </c>
    </row>
    <row r="25" spans="1:23" x14ac:dyDescent="0.15">
      <c r="A25" s="9">
        <v>42887</v>
      </c>
      <c r="B25" s="8">
        <v>1557.2</v>
      </c>
      <c r="C25" s="14">
        <f t="shared" si="5"/>
        <v>1594.0940735185004</v>
      </c>
      <c r="D25" s="14">
        <f t="shared" si="6"/>
        <v>9.5767102220196243</v>
      </c>
      <c r="E25" s="14">
        <f t="shared" si="7"/>
        <v>0.98964736089413852</v>
      </c>
      <c r="F25" s="14">
        <f t="shared" si="8"/>
        <v>1638.7639714982824</v>
      </c>
      <c r="G25" s="14"/>
      <c r="I25" s="12">
        <f t="shared" si="9"/>
        <v>-81.563971498282399</v>
      </c>
      <c r="J25" s="12">
        <f t="shared" si="10"/>
        <v>81.563971498282399</v>
      </c>
      <c r="K25" s="12">
        <f t="shared" si="11"/>
        <v>6652.6814465726238</v>
      </c>
      <c r="L25" s="12">
        <f t="shared" si="12"/>
        <v>5.2378610004034414</v>
      </c>
      <c r="T25" s="1">
        <f t="shared" si="3"/>
        <v>14</v>
      </c>
      <c r="U25" s="1">
        <f>[1]!ACF($I$14:$I$97,T25)</f>
        <v>-7.9174418973712329E-2</v>
      </c>
      <c r="V25" s="1">
        <f t="shared" si="4"/>
        <v>-0.24705979437690387</v>
      </c>
      <c r="W25" s="1">
        <f>_xlfn.NORM.S.INV(1-$W$8/2)*SQRT((1+2*SUMSQ(U$12:U24))/COUNT($I$14:$I$97))</f>
        <v>0.24705979437690387</v>
      </c>
    </row>
    <row r="26" spans="1:23" x14ac:dyDescent="0.15">
      <c r="A26" s="9">
        <v>42917</v>
      </c>
      <c r="B26" s="8">
        <v>1445.5</v>
      </c>
      <c r="C26" s="14">
        <f t="shared" si="5"/>
        <v>1557.3607501331398</v>
      </c>
      <c r="D26" s="14">
        <f t="shared" si="6"/>
        <v>-13.57830658167047</v>
      </c>
      <c r="E26" s="14">
        <f t="shared" si="7"/>
        <v>0.94239599371559346</v>
      </c>
      <c r="F26" s="14">
        <f t="shared" si="8"/>
        <v>1534.102126781529</v>
      </c>
      <c r="G26" s="14"/>
      <c r="I26" s="12">
        <f t="shared" si="9"/>
        <v>-88.602126781529023</v>
      </c>
      <c r="J26" s="12">
        <f t="shared" si="10"/>
        <v>88.602126781529023</v>
      </c>
      <c r="K26" s="12">
        <f t="shared" si="11"/>
        <v>7850.3368702101425</v>
      </c>
      <c r="L26" s="12">
        <f t="shared" si="12"/>
        <v>6.1295141322399873</v>
      </c>
      <c r="T26" s="1">
        <f t="shared" si="3"/>
        <v>15</v>
      </c>
      <c r="U26" s="1">
        <f>[1]!ACF($I$14:$I$97,T26)</f>
        <v>-3.2646635465826371E-2</v>
      </c>
      <c r="V26" s="1">
        <f t="shared" si="4"/>
        <v>-0.24821742048455969</v>
      </c>
      <c r="W26" s="1">
        <f>_xlfn.NORM.S.INV(1-$W$8/2)*SQRT((1+2*SUMSQ(U$12:U25))/COUNT($I$14:$I$97))</f>
        <v>0.24821742048455969</v>
      </c>
    </row>
    <row r="27" spans="1:23" x14ac:dyDescent="0.15">
      <c r="A27" s="9">
        <v>42948</v>
      </c>
      <c r="B27" s="8">
        <v>1303.0999999999999</v>
      </c>
      <c r="C27" s="14">
        <f t="shared" si="5"/>
        <v>1548.8748968858931</v>
      </c>
      <c r="D27" s="14">
        <f t="shared" si="6"/>
        <v>-11.032079914458595</v>
      </c>
      <c r="E27" s="14">
        <f t="shared" si="7"/>
        <v>0.83994183801514222</v>
      </c>
      <c r="F27" s="14">
        <f t="shared" si="8"/>
        <v>1294.559310983404</v>
      </c>
      <c r="G27" s="14"/>
      <c r="I27" s="12">
        <f t="shared" si="9"/>
        <v>8.5406890165959339</v>
      </c>
      <c r="J27" s="12">
        <f t="shared" si="10"/>
        <v>8.5406890165959339</v>
      </c>
      <c r="K27" s="12">
        <f t="shared" si="11"/>
        <v>72.943368878202421</v>
      </c>
      <c r="L27" s="12">
        <f t="shared" si="12"/>
        <v>0.65541316987153209</v>
      </c>
      <c r="T27" s="1">
        <f t="shared" si="3"/>
        <v>16</v>
      </c>
      <c r="U27" s="1">
        <f>[1]!ACF($I$14:$I$97,T27)</f>
        <v>9.4512006820917732E-2</v>
      </c>
      <c r="V27" s="1">
        <f t="shared" si="4"/>
        <v>-0.24841370670618881</v>
      </c>
      <c r="W27" s="1">
        <f>_xlfn.NORM.S.INV(1-$W$8/2)*SQRT((1+2*SUMSQ(U$12:U26))/COUNT($I$14:$I$97))</f>
        <v>0.24841370670618881</v>
      </c>
    </row>
    <row r="28" spans="1:23" x14ac:dyDescent="0.15">
      <c r="A28" s="9">
        <v>42979</v>
      </c>
      <c r="B28" s="8">
        <v>1407.2</v>
      </c>
      <c r="C28" s="14">
        <f t="shared" si="5"/>
        <v>1561.0294293857899</v>
      </c>
      <c r="D28" s="14">
        <f t="shared" si="6"/>
        <v>0.5612262927190681</v>
      </c>
      <c r="E28" s="14">
        <f t="shared" si="7"/>
        <v>0.89485955380915816</v>
      </c>
      <c r="F28" s="14">
        <f t="shared" si="8"/>
        <v>1366.0083946525306</v>
      </c>
      <c r="G28" s="14"/>
      <c r="I28" s="12">
        <f t="shared" si="9"/>
        <v>41.191605347469476</v>
      </c>
      <c r="J28" s="12">
        <f t="shared" si="10"/>
        <v>41.191605347469476</v>
      </c>
      <c r="K28" s="12">
        <f t="shared" si="11"/>
        <v>1696.748351101676</v>
      </c>
      <c r="L28" s="12">
        <f t="shared" si="12"/>
        <v>2.9272033362329077</v>
      </c>
      <c r="T28" s="1">
        <f t="shared" si="3"/>
        <v>17</v>
      </c>
      <c r="U28" s="1">
        <f>[1]!ACF($I$14:$I$97,T28)</f>
        <v>0.30402569850478228</v>
      </c>
      <c r="V28" s="1">
        <f t="shared" si="4"/>
        <v>-0.25005272930150296</v>
      </c>
      <c r="W28" s="1">
        <f>_xlfn.NORM.S.INV(1-$W$8/2)*SQRT((1+2*SUMSQ(U$12:U27))/COUNT($I$14:$I$97))</f>
        <v>0.25005272930150296</v>
      </c>
    </row>
    <row r="29" spans="1:23" x14ac:dyDescent="0.15">
      <c r="A29" s="9">
        <v>43009</v>
      </c>
      <c r="B29" s="8">
        <v>1518.3</v>
      </c>
      <c r="C29" s="14">
        <f t="shared" si="5"/>
        <v>1556.1928257648483</v>
      </c>
      <c r="D29" s="14">
        <f t="shared" si="6"/>
        <v>-2.1376886641112458</v>
      </c>
      <c r="E29" s="14">
        <f t="shared" si="7"/>
        <v>0.97734826773549854</v>
      </c>
      <c r="F29" s="14">
        <f t="shared" si="8"/>
        <v>1528.8694500947402</v>
      </c>
      <c r="G29" s="14"/>
      <c r="I29" s="12">
        <f t="shared" si="9"/>
        <v>-10.569450094740205</v>
      </c>
      <c r="J29" s="12">
        <f t="shared" si="10"/>
        <v>10.569450094740205</v>
      </c>
      <c r="K29" s="12">
        <f t="shared" si="11"/>
        <v>111.71327530520372</v>
      </c>
      <c r="L29" s="12">
        <f t="shared" si="12"/>
        <v>0.69613713328987714</v>
      </c>
      <c r="T29" s="1">
        <f t="shared" si="3"/>
        <v>18</v>
      </c>
      <c r="U29" s="1">
        <f>[1]!ACF($I$14:$I$97,T29)</f>
        <v>0.16271808618597156</v>
      </c>
      <c r="V29" s="1">
        <f t="shared" si="4"/>
        <v>-0.26642160084313626</v>
      </c>
      <c r="W29" s="1">
        <f>_xlfn.NORM.S.INV(1-$W$8/2)*SQRT((1+2*SUMSQ(U$12:U28))/COUNT($I$14:$I$97))</f>
        <v>0.26642160084313626</v>
      </c>
    </row>
    <row r="30" spans="1:23" x14ac:dyDescent="0.15">
      <c r="A30" s="9">
        <v>43040</v>
      </c>
      <c r="B30" s="8">
        <v>1730.4</v>
      </c>
      <c r="C30" s="14">
        <f t="shared" si="5"/>
        <v>1570.2524539622486</v>
      </c>
      <c r="D30" s="14">
        <f t="shared" si="6"/>
        <v>5.9609697666445491</v>
      </c>
      <c r="E30" s="14">
        <f t="shared" si="7"/>
        <v>1.0963628724268437</v>
      </c>
      <c r="F30" s="14">
        <f t="shared" si="8"/>
        <v>1695.0659634454032</v>
      </c>
      <c r="G30" s="14"/>
      <c r="I30" s="12">
        <f t="shared" si="9"/>
        <v>35.334036554596878</v>
      </c>
      <c r="J30" s="12">
        <f t="shared" si="10"/>
        <v>35.334036554596878</v>
      </c>
      <c r="K30" s="12">
        <f t="shared" si="11"/>
        <v>1248.4941392415883</v>
      </c>
      <c r="L30" s="12">
        <f t="shared" si="12"/>
        <v>2.0419577296923763</v>
      </c>
      <c r="T30" s="1">
        <f t="shared" si="3"/>
        <v>19</v>
      </c>
      <c r="U30" s="1">
        <f>[1]!ACF($I$14:$I$97,T30)</f>
        <v>-0.26963097979513567</v>
      </c>
      <c r="V30" s="1">
        <f t="shared" si="4"/>
        <v>-0.27092832887581875</v>
      </c>
      <c r="W30" s="1">
        <f>_xlfn.NORM.S.INV(1-$W$8/2)*SQRT((1+2*SUMSQ(U$12:U29))/COUNT($I$14:$I$97))</f>
        <v>0.27092832887581875</v>
      </c>
    </row>
    <row r="31" spans="1:23" x14ac:dyDescent="0.15">
      <c r="A31" s="9">
        <v>43070</v>
      </c>
      <c r="B31" s="8">
        <v>2822.6</v>
      </c>
      <c r="C31" s="14">
        <f t="shared" si="5"/>
        <v>1556.5462692691754</v>
      </c>
      <c r="D31" s="14">
        <f t="shared" si="6"/>
        <v>-3.8726074632143668</v>
      </c>
      <c r="E31" s="14">
        <f t="shared" si="7"/>
        <v>1.8249763583057013</v>
      </c>
      <c r="F31" s="14">
        <f t="shared" si="8"/>
        <v>2894.8405681007407</v>
      </c>
      <c r="G31" s="14"/>
      <c r="I31" s="12">
        <f t="shared" si="9"/>
        <v>-72.240568100740802</v>
      </c>
      <c r="J31" s="12">
        <f t="shared" si="10"/>
        <v>72.240568100740802</v>
      </c>
      <c r="K31" s="12">
        <f t="shared" si="11"/>
        <v>5218.6996795177693</v>
      </c>
      <c r="L31" s="12">
        <f t="shared" si="12"/>
        <v>2.5593625770828599</v>
      </c>
      <c r="T31" s="1">
        <f t="shared" si="3"/>
        <v>20</v>
      </c>
      <c r="U31" s="1">
        <f>[1]!ACF($I$14:$I$97,T31)</f>
        <v>-0.1137271264397761</v>
      </c>
      <c r="V31" s="1">
        <f t="shared" si="4"/>
        <v>-0.28293395133754751</v>
      </c>
      <c r="W31" s="1">
        <f>_xlfn.NORM.S.INV(1-$W$8/2)*SQRT((1+2*SUMSQ(U$12:U30))/COUNT($I$14:$I$97))</f>
        <v>0.28293395133754751</v>
      </c>
    </row>
    <row r="32" spans="1:23" x14ac:dyDescent="0.15">
      <c r="A32" s="9">
        <v>43101</v>
      </c>
      <c r="B32" s="8">
        <v>1413.1</v>
      </c>
      <c r="C32" s="14">
        <f t="shared" si="5"/>
        <v>1523.1333271760091</v>
      </c>
      <c r="D32" s="14">
        <f t="shared" si="6"/>
        <v>-18.642774778190329</v>
      </c>
      <c r="E32" s="14">
        <f t="shared" si="7"/>
        <v>0.93693319241131279</v>
      </c>
      <c r="F32" s="14">
        <f t="shared" si="8"/>
        <v>1468.9966827963312</v>
      </c>
      <c r="G32" s="14"/>
      <c r="I32" s="12">
        <f t="shared" si="9"/>
        <v>-55.896682796331334</v>
      </c>
      <c r="J32" s="12">
        <f t="shared" si="10"/>
        <v>55.896682796331334</v>
      </c>
      <c r="K32" s="12">
        <f t="shared" si="11"/>
        <v>3124.4391476336832</v>
      </c>
      <c r="L32" s="12">
        <f t="shared" si="12"/>
        <v>3.9556070197672732</v>
      </c>
      <c r="T32" s="1">
        <f t="shared" si="3"/>
        <v>21</v>
      </c>
      <c r="U32" s="1">
        <f>[1]!ACF($I$14:$I$97,T32)</f>
        <v>0.10903378442644272</v>
      </c>
      <c r="V32" s="1">
        <f t="shared" si="4"/>
        <v>-0.28501683167784864</v>
      </c>
      <c r="W32" s="1">
        <f>_xlfn.NORM.S.INV(1-$W$8/2)*SQRT((1+2*SUMSQ(U$12:U31))/COUNT($I$14:$I$97))</f>
        <v>0.28501683167784864</v>
      </c>
    </row>
    <row r="33" spans="1:23" x14ac:dyDescent="0.15">
      <c r="A33" s="9">
        <v>43132</v>
      </c>
      <c r="B33" s="8">
        <v>1099.4000000000001</v>
      </c>
      <c r="C33" s="14">
        <f t="shared" si="5"/>
        <v>1510.4042802296253</v>
      </c>
      <c r="D33" s="14">
        <f t="shared" si="6"/>
        <v>-15.685910862287031</v>
      </c>
      <c r="E33" s="14">
        <f t="shared" si="7"/>
        <v>0.72646519385925346</v>
      </c>
      <c r="F33" s="14">
        <f t="shared" si="8"/>
        <v>1090.8245529714438</v>
      </c>
      <c r="G33" s="14"/>
      <c r="I33" s="12">
        <f t="shared" si="9"/>
        <v>8.5754470285562547</v>
      </c>
      <c r="J33" s="12">
        <f t="shared" si="10"/>
        <v>8.5754470285562547</v>
      </c>
      <c r="K33" s="12">
        <f t="shared" si="11"/>
        <v>73.538291739574305</v>
      </c>
      <c r="L33" s="12">
        <f t="shared" si="12"/>
        <v>0.78001155435294289</v>
      </c>
      <c r="T33" s="1">
        <f t="shared" si="3"/>
        <v>22</v>
      </c>
      <c r="U33" s="1">
        <f>[1]!ACF($I$14:$I$97,T33)</f>
        <v>-8.8627623106831643E-2</v>
      </c>
      <c r="V33" s="1">
        <f t="shared" si="4"/>
        <v>-0.28691800849981802</v>
      </c>
      <c r="W33" s="1">
        <f>_xlfn.NORM.S.INV(1-$W$8/2)*SQRT((1+2*SUMSQ(U$12:U32))/COUNT($I$14:$I$97))</f>
        <v>0.28691800849981802</v>
      </c>
    </row>
    <row r="34" spans="1:23" x14ac:dyDescent="0.15">
      <c r="A34" s="9">
        <v>43160</v>
      </c>
      <c r="B34" s="8">
        <v>1416.2</v>
      </c>
      <c r="C34" s="14">
        <f t="shared" si="5"/>
        <v>1523.1686514837108</v>
      </c>
      <c r="D34" s="14">
        <f t="shared" si="6"/>
        <v>-1.4607698041007566</v>
      </c>
      <c r="E34" s="14">
        <f t="shared" si="7"/>
        <v>0.92124819501435895</v>
      </c>
      <c r="F34" s="14">
        <f t="shared" si="8"/>
        <v>1364.2654835272956</v>
      </c>
      <c r="G34" s="14"/>
      <c r="I34" s="12">
        <f t="shared" si="9"/>
        <v>51.934516472704445</v>
      </c>
      <c r="J34" s="12">
        <f t="shared" si="10"/>
        <v>51.934516472704445</v>
      </c>
      <c r="K34" s="12">
        <f t="shared" si="11"/>
        <v>2697.1940012536093</v>
      </c>
      <c r="L34" s="12">
        <f t="shared" si="12"/>
        <v>3.6671738788804156</v>
      </c>
      <c r="T34" s="1">
        <f t="shared" si="3"/>
        <v>23</v>
      </c>
      <c r="U34" s="1">
        <f>[1]!ACF($I$14:$I$97,T34)</f>
        <v>-0.10736487156084948</v>
      </c>
      <c r="V34" s="1">
        <f t="shared" si="4"/>
        <v>-0.28816726853500135</v>
      </c>
      <c r="W34" s="1">
        <f>_xlfn.NORM.S.INV(1-$W$8/2)*SQRT((1+2*SUMSQ(U$12:U33))/COUNT($I$14:$I$97))</f>
        <v>0.28816726853500135</v>
      </c>
    </row>
    <row r="35" spans="1:23" x14ac:dyDescent="0.15">
      <c r="A35" s="9">
        <v>43191</v>
      </c>
      <c r="B35" s="8">
        <v>1402.7</v>
      </c>
      <c r="C35" s="14">
        <f t="shared" si="5"/>
        <v>1508.915187031701</v>
      </c>
      <c r="D35" s="14">
        <f t="shared" si="6"/>
        <v>-7.8571171280553251</v>
      </c>
      <c r="E35" s="14">
        <f t="shared" si="7"/>
        <v>0.93358258424382967</v>
      </c>
      <c r="F35" s="14">
        <f t="shared" si="8"/>
        <v>1426.6877588552679</v>
      </c>
      <c r="G35" s="14"/>
      <c r="I35" s="12">
        <f t="shared" si="9"/>
        <v>-23.987758855267884</v>
      </c>
      <c r="J35" s="12">
        <f t="shared" si="10"/>
        <v>23.987758855267884</v>
      </c>
      <c r="K35" s="12">
        <f t="shared" si="11"/>
        <v>575.41257489848283</v>
      </c>
      <c r="L35" s="12">
        <f t="shared" si="12"/>
        <v>1.7101132712103717</v>
      </c>
      <c r="T35" s="27">
        <f t="shared" si="3"/>
        <v>24</v>
      </c>
      <c r="U35" s="27">
        <f>[1]!ACF($I$14:$I$97,T35)</f>
        <v>4.8386921004161601E-2</v>
      </c>
      <c r="V35" s="27">
        <f t="shared" si="4"/>
        <v>-0.28999084795597169</v>
      </c>
      <c r="W35" s="27">
        <f>_xlfn.NORM.S.INV(1-$W$8/2)*SQRT((1+2*SUMSQ(U$12:U34))/COUNT($I$14:$I$97))</f>
        <v>0.28999084795597169</v>
      </c>
    </row>
    <row r="36" spans="1:23" x14ac:dyDescent="0.15">
      <c r="A36" s="9">
        <v>43221</v>
      </c>
      <c r="B36" s="8">
        <v>1518</v>
      </c>
      <c r="C36" s="14">
        <f t="shared" si="5"/>
        <v>1586.6653575056412</v>
      </c>
      <c r="D36" s="14">
        <f t="shared" si="6"/>
        <v>34.946526672942447</v>
      </c>
      <c r="E36" s="14">
        <f t="shared" si="7"/>
        <v>0.93223509668073379</v>
      </c>
      <c r="F36" s="14">
        <f t="shared" si="8"/>
        <v>1362.5805318169698</v>
      </c>
      <c r="G36" s="14"/>
      <c r="I36" s="12">
        <f t="shared" si="9"/>
        <v>155.41946818303018</v>
      </c>
      <c r="J36" s="12">
        <f t="shared" si="10"/>
        <v>155.41946818303018</v>
      </c>
      <c r="K36" s="12">
        <f t="shared" si="11"/>
        <v>24155.211090295928</v>
      </c>
      <c r="L36" s="12">
        <f t="shared" si="12"/>
        <v>10.2384366391983</v>
      </c>
    </row>
    <row r="37" spans="1:23" x14ac:dyDescent="0.15">
      <c r="A37" s="9">
        <v>43252</v>
      </c>
      <c r="B37" s="8">
        <v>1587.2</v>
      </c>
      <c r="C37" s="14">
        <f t="shared" si="5"/>
        <v>1612.7077420223395</v>
      </c>
      <c r="D37" s="14">
        <f t="shared" si="6"/>
        <v>30.494455594820398</v>
      </c>
      <c r="E37" s="14">
        <f t="shared" si="7"/>
        <v>0.9869153219275173</v>
      </c>
      <c r="F37" s="14">
        <f t="shared" si="8"/>
        <v>1604.8239215719066</v>
      </c>
      <c r="G37" s="14"/>
      <c r="I37" s="12">
        <f t="shared" si="9"/>
        <v>-17.623921571906521</v>
      </c>
      <c r="J37" s="12">
        <f t="shared" si="10"/>
        <v>17.623921571906521</v>
      </c>
      <c r="K37" s="12">
        <f t="shared" si="11"/>
        <v>310.60261157271202</v>
      </c>
      <c r="L37" s="12">
        <f t="shared" si="12"/>
        <v>1.1103781232299976</v>
      </c>
    </row>
    <row r="38" spans="1:23" x14ac:dyDescent="0.15">
      <c r="A38" s="9">
        <v>43282</v>
      </c>
      <c r="B38" s="8">
        <v>1426.7</v>
      </c>
      <c r="C38" s="14">
        <f t="shared" si="5"/>
        <v>1578.5546562907891</v>
      </c>
      <c r="D38" s="14">
        <f t="shared" si="6"/>
        <v>-1.8293150683649966</v>
      </c>
      <c r="E38" s="14">
        <f t="shared" si="7"/>
        <v>0.92309872589317599</v>
      </c>
      <c r="F38" s="14">
        <f t="shared" si="8"/>
        <v>1548.5471678990705</v>
      </c>
      <c r="G38" s="14"/>
      <c r="I38" s="12">
        <f t="shared" si="9"/>
        <v>-121.84716789907043</v>
      </c>
      <c r="J38" s="12">
        <f t="shared" si="10"/>
        <v>121.84716789907043</v>
      </c>
      <c r="K38" s="12">
        <f t="shared" si="11"/>
        <v>14846.732325024259</v>
      </c>
      <c r="L38" s="12">
        <f t="shared" si="12"/>
        <v>8.5404897945658114</v>
      </c>
    </row>
    <row r="39" spans="1:23" x14ac:dyDescent="0.15">
      <c r="A39" s="9">
        <v>43313</v>
      </c>
      <c r="B39" s="8">
        <v>1343.6</v>
      </c>
      <c r="C39" s="14">
        <f t="shared" si="5"/>
        <v>1588.1799550883416</v>
      </c>
      <c r="D39" s="14">
        <f t="shared" si="6"/>
        <v>3.8979918645937177</v>
      </c>
      <c r="E39" s="14">
        <f t="shared" si="7"/>
        <v>0.84297084281823997</v>
      </c>
      <c r="F39" s="14">
        <f t="shared" si="8"/>
        <v>1324.3575811514152</v>
      </c>
      <c r="G39" s="14"/>
      <c r="I39" s="12">
        <f t="shared" si="9"/>
        <v>19.242418848584748</v>
      </c>
      <c r="J39" s="12">
        <f t="shared" si="10"/>
        <v>19.242418848584748</v>
      </c>
      <c r="K39" s="12">
        <f t="shared" si="11"/>
        <v>370.27068314436957</v>
      </c>
      <c r="L39" s="12">
        <f t="shared" si="12"/>
        <v>1.4321538291593292</v>
      </c>
    </row>
    <row r="40" spans="1:23" x14ac:dyDescent="0.15">
      <c r="A40" s="9">
        <v>43344</v>
      </c>
      <c r="B40" s="8">
        <v>1398.8</v>
      </c>
      <c r="C40" s="14">
        <f t="shared" si="5"/>
        <v>1577.6141346543939</v>
      </c>
      <c r="D40" s="14">
        <f t="shared" si="6"/>
        <v>-3.3339142846769874</v>
      </c>
      <c r="E40" s="14">
        <f t="shared" si="7"/>
        <v>0.89075744787097588</v>
      </c>
      <c r="F40" s="14">
        <f t="shared" si="8"/>
        <v>1424.6861612397042</v>
      </c>
      <c r="G40" s="14"/>
      <c r="I40" s="12">
        <f t="shared" si="9"/>
        <v>-25.886161239704279</v>
      </c>
      <c r="J40" s="12">
        <f t="shared" si="10"/>
        <v>25.886161239704279</v>
      </c>
      <c r="K40" s="12">
        <f t="shared" si="11"/>
        <v>670.0933437279682</v>
      </c>
      <c r="L40" s="12">
        <f t="shared" si="12"/>
        <v>1.850597743759242</v>
      </c>
    </row>
    <row r="41" spans="1:23" x14ac:dyDescent="0.15">
      <c r="A41" s="9">
        <v>43374</v>
      </c>
      <c r="B41" s="8">
        <v>1524.8</v>
      </c>
      <c r="C41" s="14">
        <f t="shared" si="5"/>
        <v>1567.210045507371</v>
      </c>
      <c r="D41" s="14">
        <f t="shared" si="6"/>
        <v>-6.8690017158499375</v>
      </c>
      <c r="E41" s="14">
        <f t="shared" si="7"/>
        <v>0.97514370582176224</v>
      </c>
      <c r="F41" s="14">
        <f t="shared" si="8"/>
        <v>1538.6200463086018</v>
      </c>
      <c r="G41" s="14"/>
      <c r="I41" s="12">
        <f t="shared" si="9"/>
        <v>-13.820046308601832</v>
      </c>
      <c r="J41" s="12">
        <f t="shared" si="10"/>
        <v>13.820046308601832</v>
      </c>
      <c r="K41" s="12">
        <f t="shared" si="11"/>
        <v>190.99367997189913</v>
      </c>
      <c r="L41" s="12">
        <f t="shared" si="12"/>
        <v>0.90635141058511492</v>
      </c>
    </row>
    <row r="42" spans="1:23" x14ac:dyDescent="0.15">
      <c r="A42" s="9">
        <v>43405</v>
      </c>
      <c r="B42" s="8">
        <v>1745.1</v>
      </c>
      <c r="C42" s="14">
        <f t="shared" si="5"/>
        <v>1576.0292853985552</v>
      </c>
      <c r="D42" s="14">
        <f t="shared" si="6"/>
        <v>0.97511908766714361</v>
      </c>
      <c r="E42" s="14">
        <f t="shared" si="7"/>
        <v>1.1018196256074373</v>
      </c>
      <c r="F42" s="14">
        <f t="shared" si="8"/>
        <v>1710.6999887367715</v>
      </c>
      <c r="G42" s="14"/>
      <c r="I42" s="12">
        <f t="shared" si="9"/>
        <v>34.400011263228407</v>
      </c>
      <c r="J42" s="12">
        <f t="shared" si="10"/>
        <v>34.400011263228407</v>
      </c>
      <c r="K42" s="12">
        <f t="shared" si="11"/>
        <v>1183.3607749102412</v>
      </c>
      <c r="L42" s="12">
        <f t="shared" si="12"/>
        <v>1.9712343856070373</v>
      </c>
    </row>
    <row r="43" spans="1:23" x14ac:dyDescent="0.15">
      <c r="A43" s="9">
        <v>43435</v>
      </c>
      <c r="B43" s="8">
        <v>2813.5</v>
      </c>
      <c r="C43" s="14">
        <f t="shared" si="5"/>
        <v>1559.3341056799422</v>
      </c>
      <c r="D43" s="14">
        <f t="shared" si="6"/>
        <v>-7.8600303154729092</v>
      </c>
      <c r="E43" s="14">
        <f t="shared" si="7"/>
        <v>1.8146360863113307</v>
      </c>
      <c r="F43" s="14">
        <f t="shared" si="8"/>
        <v>2877.9957551313169</v>
      </c>
      <c r="G43" s="14"/>
      <c r="I43" s="12">
        <f t="shared" si="9"/>
        <v>-64.495755131316855</v>
      </c>
      <c r="J43" s="12">
        <f t="shared" si="10"/>
        <v>64.495755131316855</v>
      </c>
      <c r="K43" s="12">
        <f t="shared" si="11"/>
        <v>4159.7024299587847</v>
      </c>
      <c r="L43" s="12">
        <f t="shared" si="12"/>
        <v>2.2923673407256748</v>
      </c>
    </row>
    <row r="44" spans="1:23" x14ac:dyDescent="0.15">
      <c r="A44" s="9">
        <v>43466</v>
      </c>
      <c r="B44" s="8">
        <v>1409.6</v>
      </c>
      <c r="C44" s="14">
        <f t="shared" si="5"/>
        <v>1527.9785055996115</v>
      </c>
      <c r="D44" s="14">
        <f t="shared" si="6"/>
        <v>-19.607815197901836</v>
      </c>
      <c r="E44" s="14">
        <f t="shared" si="7"/>
        <v>0.92972962930272307</v>
      </c>
      <c r="F44" s="14">
        <f t="shared" si="8"/>
        <v>1453.6275583746219</v>
      </c>
      <c r="G44" s="14"/>
      <c r="I44" s="12">
        <f t="shared" si="9"/>
        <v>-44.027558374622004</v>
      </c>
      <c r="J44" s="12">
        <f t="shared" si="10"/>
        <v>44.027558374622004</v>
      </c>
      <c r="K44" s="12">
        <f t="shared" si="11"/>
        <v>1938.425896430748</v>
      </c>
      <c r="L44" s="12">
        <f t="shared" si="12"/>
        <v>3.1234079437160904</v>
      </c>
    </row>
    <row r="45" spans="1:23" x14ac:dyDescent="0.15">
      <c r="A45" s="9">
        <v>43497</v>
      </c>
      <c r="B45" s="8">
        <v>1115.2</v>
      </c>
      <c r="C45" s="14">
        <f t="shared" si="5"/>
        <v>1521.7376033315181</v>
      </c>
      <c r="D45" s="14">
        <f t="shared" si="6"/>
        <v>-12.924358732997593</v>
      </c>
      <c r="E45" s="14">
        <f t="shared" si="7"/>
        <v>0.72965582178735144</v>
      </c>
      <c r="F45" s="14">
        <f t="shared" si="8"/>
        <v>1095.7788060142941</v>
      </c>
      <c r="G45" s="14"/>
      <c r="I45" s="12">
        <f t="shared" si="9"/>
        <v>19.421193985705941</v>
      </c>
      <c r="J45" s="12">
        <f t="shared" si="10"/>
        <v>19.421193985705941</v>
      </c>
      <c r="K45" s="12">
        <f t="shared" si="11"/>
        <v>377.18277583042061</v>
      </c>
      <c r="L45" s="12">
        <f t="shared" si="12"/>
        <v>1.7414987433380504</v>
      </c>
    </row>
    <row r="46" spans="1:23" x14ac:dyDescent="0.15">
      <c r="A46" s="9">
        <v>43525</v>
      </c>
      <c r="B46" s="8">
        <v>1355.7</v>
      </c>
      <c r="C46" s="14">
        <f t="shared" si="5"/>
        <v>1490.2018224075598</v>
      </c>
      <c r="D46" s="14">
        <f t="shared" si="6"/>
        <v>-22.230069828477959</v>
      </c>
      <c r="E46" s="14">
        <f t="shared" si="7"/>
        <v>0.91549537051694552</v>
      </c>
      <c r="F46" s="14">
        <f t="shared" si="8"/>
        <v>1389.9914782001454</v>
      </c>
      <c r="G46" s="14"/>
      <c r="I46" s="12">
        <f t="shared" si="9"/>
        <v>-34.29147820014532</v>
      </c>
      <c r="J46" s="12">
        <f t="shared" si="10"/>
        <v>34.29147820014532</v>
      </c>
      <c r="K46" s="12">
        <f t="shared" si="11"/>
        <v>1175.9054771510419</v>
      </c>
      <c r="L46" s="12">
        <f t="shared" si="12"/>
        <v>2.5294296820937761</v>
      </c>
    </row>
    <row r="47" spans="1:23" x14ac:dyDescent="0.15">
      <c r="A47" s="9">
        <v>43556</v>
      </c>
      <c r="B47" s="8">
        <v>1474.6</v>
      </c>
      <c r="C47" s="14">
        <f t="shared" si="5"/>
        <v>1523.7392547731251</v>
      </c>
      <c r="D47" s="14">
        <f t="shared" si="6"/>
        <v>5.6536812685436892</v>
      </c>
      <c r="E47" s="14">
        <f t="shared" si="7"/>
        <v>0.95066673058056317</v>
      </c>
      <c r="F47" s="14">
        <f t="shared" si="8"/>
        <v>1370.4728623697229</v>
      </c>
      <c r="G47" s="14"/>
      <c r="I47" s="12">
        <f t="shared" si="9"/>
        <v>104.12713763027705</v>
      </c>
      <c r="J47" s="12">
        <f t="shared" si="10"/>
        <v>104.12713763027705</v>
      </c>
      <c r="K47" s="12">
        <f t="shared" si="11"/>
        <v>10842.460791074658</v>
      </c>
      <c r="L47" s="12">
        <f t="shared" si="12"/>
        <v>7.0613819090110583</v>
      </c>
    </row>
    <row r="48" spans="1:23" x14ac:dyDescent="0.15">
      <c r="A48" s="9">
        <v>43586</v>
      </c>
      <c r="B48" s="8">
        <v>1512</v>
      </c>
      <c r="C48" s="14">
        <f t="shared" si="5"/>
        <v>1575.6507033760286</v>
      </c>
      <c r="D48" s="14">
        <f t="shared" si="6"/>
        <v>28.782564935723556</v>
      </c>
      <c r="E48" s="14">
        <f t="shared" si="7"/>
        <v>0.94591932063683815</v>
      </c>
      <c r="F48" s="14">
        <f t="shared" si="8"/>
        <v>1425.7537715936364</v>
      </c>
      <c r="G48" s="14"/>
      <c r="I48" s="12">
        <f t="shared" si="9"/>
        <v>86.246228406363571</v>
      </c>
      <c r="J48" s="12">
        <f t="shared" si="10"/>
        <v>86.246228406363571</v>
      </c>
      <c r="K48" s="12">
        <f t="shared" si="11"/>
        <v>7438.4119143226344</v>
      </c>
      <c r="L48" s="12">
        <f t="shared" si="12"/>
        <v>5.7041156353415055</v>
      </c>
    </row>
    <row r="49" spans="1:12" x14ac:dyDescent="0.15">
      <c r="A49" s="9">
        <v>43617</v>
      </c>
      <c r="B49" s="8">
        <v>1570.2</v>
      </c>
      <c r="C49" s="14">
        <f t="shared" si="5"/>
        <v>1597.7256130484548</v>
      </c>
      <c r="D49" s="14">
        <f t="shared" si="6"/>
        <v>25.428737304074879</v>
      </c>
      <c r="E49" s="14">
        <f t="shared" si="7"/>
        <v>0.98484366215706243</v>
      </c>
      <c r="F49" s="14">
        <f t="shared" si="8"/>
        <v>1583.4397755071116</v>
      </c>
      <c r="G49" s="14"/>
      <c r="I49" s="12">
        <f t="shared" si="9"/>
        <v>-13.239775507111517</v>
      </c>
      <c r="J49" s="12">
        <f t="shared" si="10"/>
        <v>13.239775507111517</v>
      </c>
      <c r="K49" s="12">
        <f t="shared" si="11"/>
        <v>175.29165547871003</v>
      </c>
      <c r="L49" s="12">
        <f t="shared" si="12"/>
        <v>0.84319039021217157</v>
      </c>
    </row>
    <row r="50" spans="1:12" x14ac:dyDescent="0.15">
      <c r="A50" s="9">
        <v>43647</v>
      </c>
      <c r="B50" s="8">
        <v>1439.2</v>
      </c>
      <c r="C50" s="14">
        <f t="shared" si="5"/>
        <v>1591.1254291333119</v>
      </c>
      <c r="D50" s="14">
        <f t="shared" si="6"/>
        <v>9.4142766944659861</v>
      </c>
      <c r="E50" s="14">
        <f t="shared" si="7"/>
        <v>0.91380786301466066</v>
      </c>
      <c r="F50" s="14">
        <f t="shared" si="8"/>
        <v>1498.3317127383859</v>
      </c>
      <c r="G50" s="14"/>
      <c r="I50" s="12">
        <f t="shared" si="9"/>
        <v>-59.131712738385886</v>
      </c>
      <c r="J50" s="12">
        <f t="shared" si="10"/>
        <v>59.131712738385886</v>
      </c>
      <c r="K50" s="12">
        <f t="shared" si="11"/>
        <v>3496.5594513749875</v>
      </c>
      <c r="L50" s="12">
        <f t="shared" si="12"/>
        <v>4.1086515243458788</v>
      </c>
    </row>
    <row r="51" spans="1:12" x14ac:dyDescent="0.15">
      <c r="A51" s="9">
        <v>43678</v>
      </c>
      <c r="B51" s="8">
        <v>1381.4</v>
      </c>
      <c r="C51" s="14">
        <f t="shared" si="5"/>
        <v>1619.6338984019103</v>
      </c>
      <c r="D51" s="14">
        <f t="shared" si="6"/>
        <v>18.961372981532215</v>
      </c>
      <c r="E51" s="14">
        <f t="shared" si="7"/>
        <v>0.84793981995036583</v>
      </c>
      <c r="F51" s="14">
        <f t="shared" si="8"/>
        <v>1349.2083047856997</v>
      </c>
      <c r="G51" s="14"/>
      <c r="I51" s="12">
        <f t="shared" si="9"/>
        <v>32.191695214300353</v>
      </c>
      <c r="J51" s="12">
        <f t="shared" si="10"/>
        <v>32.191695214300353</v>
      </c>
      <c r="K51" s="12">
        <f t="shared" si="11"/>
        <v>1036.3052407704083</v>
      </c>
      <c r="L51" s="12">
        <f t="shared" si="12"/>
        <v>2.330367396431182</v>
      </c>
    </row>
    <row r="52" spans="1:12" x14ac:dyDescent="0.15">
      <c r="A52" s="9">
        <v>43709</v>
      </c>
      <c r="B52" s="8">
        <v>1384.2</v>
      </c>
      <c r="C52" s="14">
        <f t="shared" si="5"/>
        <v>1596.2768253175923</v>
      </c>
      <c r="D52" s="14">
        <f t="shared" si="6"/>
        <v>-2.1978500513929013</v>
      </c>
      <c r="E52" s="14">
        <f t="shared" si="7"/>
        <v>0.87895013775483033</v>
      </c>
      <c r="F52" s="14">
        <f t="shared" si="8"/>
        <v>1459.5909420309642</v>
      </c>
      <c r="G52" s="14"/>
      <c r="I52" s="12">
        <f t="shared" si="9"/>
        <v>-75.390942030964197</v>
      </c>
      <c r="J52" s="12">
        <f t="shared" si="10"/>
        <v>75.390942030964197</v>
      </c>
      <c r="K52" s="12">
        <f t="shared" si="11"/>
        <v>5683.794140316204</v>
      </c>
      <c r="L52" s="12">
        <f t="shared" si="12"/>
        <v>5.4465353295018195</v>
      </c>
    </row>
    <row r="53" spans="1:12" x14ac:dyDescent="0.15">
      <c r="A53" s="9">
        <v>43739</v>
      </c>
      <c r="B53" s="8">
        <v>1544.5</v>
      </c>
      <c r="C53" s="14">
        <f t="shared" si="5"/>
        <v>1588.9740459854179</v>
      </c>
      <c r="D53" s="14">
        <f t="shared" si="6"/>
        <v>-4.7503146917836485</v>
      </c>
      <c r="E53" s="14">
        <f t="shared" si="7"/>
        <v>0.97357727379935233</v>
      </c>
      <c r="F53" s="14">
        <f t="shared" si="8"/>
        <v>1554.4560793136391</v>
      </c>
      <c r="G53" s="14"/>
      <c r="I53" s="12">
        <f t="shared" si="9"/>
        <v>-9.9560793136390657</v>
      </c>
      <c r="J53" s="12">
        <f t="shared" si="10"/>
        <v>9.9560793136390657</v>
      </c>
      <c r="K53" s="12">
        <f t="shared" si="11"/>
        <v>99.123515299471734</v>
      </c>
      <c r="L53" s="12">
        <f t="shared" si="12"/>
        <v>0.64461504134924352</v>
      </c>
    </row>
    <row r="54" spans="1:12" x14ac:dyDescent="0.15">
      <c r="A54" s="9">
        <v>43770</v>
      </c>
      <c r="B54" s="8">
        <v>1826.3</v>
      </c>
      <c r="C54" s="14">
        <f t="shared" si="5"/>
        <v>1620.8772813078215</v>
      </c>
      <c r="D54" s="14">
        <f t="shared" si="6"/>
        <v>13.576460315309969</v>
      </c>
      <c r="E54" s="14">
        <f t="shared" si="7"/>
        <v>1.1142775708262231</v>
      </c>
      <c r="F54" s="14">
        <f t="shared" si="8"/>
        <v>1745.5287984923696</v>
      </c>
      <c r="G54" s="14"/>
      <c r="I54" s="12">
        <f t="shared" si="9"/>
        <v>80.771201507630394</v>
      </c>
      <c r="J54" s="12">
        <f t="shared" si="10"/>
        <v>80.771201507630394</v>
      </c>
      <c r="K54" s="12">
        <f t="shared" si="11"/>
        <v>6523.9869929862343</v>
      </c>
      <c r="L54" s="12">
        <f t="shared" si="12"/>
        <v>4.4226688664310574</v>
      </c>
    </row>
    <row r="55" spans="1:12" x14ac:dyDescent="0.15">
      <c r="A55" s="9">
        <v>43800</v>
      </c>
      <c r="B55" s="8">
        <v>2819.9</v>
      </c>
      <c r="C55" s="14">
        <f t="shared" si="5"/>
        <v>1594.2146154265486</v>
      </c>
      <c r="D55" s="14">
        <f t="shared" si="6"/>
        <v>-6.5431027829814727</v>
      </c>
      <c r="E55" s="14">
        <f t="shared" si="7"/>
        <v>1.7917347247972104</v>
      </c>
      <c r="F55" s="14">
        <f t="shared" si="8"/>
        <v>2965.9387409559104</v>
      </c>
      <c r="G55" s="14"/>
      <c r="I55" s="12">
        <f t="shared" si="9"/>
        <v>-146.03874095591027</v>
      </c>
      <c r="J55" s="12">
        <f t="shared" si="10"/>
        <v>146.03874095591027</v>
      </c>
      <c r="K55" s="12">
        <f t="shared" si="11"/>
        <v>21327.313859987466</v>
      </c>
      <c r="L55" s="12">
        <f t="shared" si="12"/>
        <v>5.1788624049047929</v>
      </c>
    </row>
    <row r="56" spans="1:12" x14ac:dyDescent="0.15">
      <c r="A56" s="9">
        <v>43831</v>
      </c>
      <c r="B56" s="8">
        <v>1417.3</v>
      </c>
      <c r="C56" s="14">
        <f t="shared" si="5"/>
        <v>1556.0465944677851</v>
      </c>
      <c r="D56" s="14">
        <f t="shared" si="6"/>
        <v>-22.355561870872467</v>
      </c>
      <c r="E56" s="14">
        <f t="shared" si="7"/>
        <v>0.92028176843633458</v>
      </c>
      <c r="F56" s="14">
        <f t="shared" si="8"/>
        <v>1476.1052469045972</v>
      </c>
      <c r="G56" s="14"/>
      <c r="I56" s="12">
        <f t="shared" si="9"/>
        <v>-58.805246904597197</v>
      </c>
      <c r="J56" s="12">
        <f t="shared" si="10"/>
        <v>58.805246904597197</v>
      </c>
      <c r="K56" s="12">
        <f t="shared" si="11"/>
        <v>3458.0570635106383</v>
      </c>
      <c r="L56" s="12">
        <f t="shared" si="12"/>
        <v>4.1491037116063785</v>
      </c>
    </row>
    <row r="57" spans="1:12" x14ac:dyDescent="0.15">
      <c r="A57" s="9">
        <v>43862</v>
      </c>
      <c r="B57" s="8">
        <v>1180.2</v>
      </c>
      <c r="C57" s="14">
        <f t="shared" si="5"/>
        <v>1575.5829817989741</v>
      </c>
      <c r="D57" s="14">
        <f t="shared" si="6"/>
        <v>-1.4095872698417526</v>
      </c>
      <c r="E57" s="14">
        <f t="shared" si="7"/>
        <v>0.73935594706618746</v>
      </c>
      <c r="F57" s="14">
        <f t="shared" si="8"/>
        <v>1119.0665907573919</v>
      </c>
      <c r="G57" s="14"/>
      <c r="I57" s="12">
        <f t="shared" si="9"/>
        <v>61.133409242608195</v>
      </c>
      <c r="J57" s="12">
        <f t="shared" si="10"/>
        <v>61.133409242608195</v>
      </c>
      <c r="K57" s="12">
        <f t="shared" si="11"/>
        <v>3737.293725624213</v>
      </c>
      <c r="L57" s="12">
        <f t="shared" si="12"/>
        <v>5.1799194409937455</v>
      </c>
    </row>
    <row r="58" spans="1:12" x14ac:dyDescent="0.15">
      <c r="A58" s="9">
        <v>43891</v>
      </c>
      <c r="B58" s="8">
        <v>1241.4000000000001</v>
      </c>
      <c r="C58" s="14">
        <f t="shared" si="5"/>
        <v>1465.0802950361358</v>
      </c>
      <c r="D58" s="14">
        <f t="shared" si="6"/>
        <v>-55.956137016340008</v>
      </c>
      <c r="E58" s="14">
        <f t="shared" si="7"/>
        <v>0.88141047159380514</v>
      </c>
      <c r="F58" s="14">
        <f t="shared" si="8"/>
        <v>1441.1484550823659</v>
      </c>
      <c r="G58" s="14"/>
      <c r="I58" s="12">
        <f t="shared" si="9"/>
        <v>-199.74845508236581</v>
      </c>
      <c r="J58" s="12">
        <f t="shared" si="10"/>
        <v>199.74845508236581</v>
      </c>
      <c r="K58" s="12">
        <f t="shared" si="11"/>
        <v>39899.44530779191</v>
      </c>
      <c r="L58" s="12">
        <f t="shared" si="12"/>
        <v>16.09057959419734</v>
      </c>
    </row>
    <row r="59" spans="1:12" x14ac:dyDescent="0.15">
      <c r="A59" s="9">
        <v>43922</v>
      </c>
      <c r="B59" s="8">
        <v>1177</v>
      </c>
      <c r="C59" s="14">
        <f t="shared" si="5"/>
        <v>1323.601308078752</v>
      </c>
      <c r="D59" s="14">
        <f t="shared" si="6"/>
        <v>-98.717561986861881</v>
      </c>
      <c r="E59" s="14">
        <f t="shared" si="7"/>
        <v>0.91995365722262024</v>
      </c>
      <c r="F59" s="14">
        <f t="shared" si="8"/>
        <v>1339.607456286768</v>
      </c>
      <c r="G59" s="14"/>
      <c r="I59" s="12">
        <f t="shared" si="9"/>
        <v>-162.60745628676796</v>
      </c>
      <c r="J59" s="12">
        <f t="shared" si="10"/>
        <v>162.60745628676796</v>
      </c>
      <c r="K59" s="12">
        <f t="shared" si="11"/>
        <v>26441.184840053153</v>
      </c>
      <c r="L59" s="12">
        <f t="shared" si="12"/>
        <v>13.815416846794218</v>
      </c>
    </row>
    <row r="60" spans="1:12" x14ac:dyDescent="0.15">
      <c r="A60" s="9">
        <v>43952</v>
      </c>
      <c r="B60" s="8">
        <v>1697.2</v>
      </c>
      <c r="C60" s="14">
        <f t="shared" si="5"/>
        <v>1509.5585525410652</v>
      </c>
      <c r="D60" s="14">
        <f t="shared" si="6"/>
        <v>43.619841237725637</v>
      </c>
      <c r="E60" s="14">
        <f t="shared" si="7"/>
        <v>1.0351107597716582</v>
      </c>
      <c r="F60" s="14">
        <f t="shared" si="8"/>
        <v>1158.6412009623459</v>
      </c>
      <c r="G60" s="14"/>
      <c r="I60" s="12">
        <f t="shared" si="9"/>
        <v>538.55879903765413</v>
      </c>
      <c r="J60" s="12">
        <f t="shared" si="10"/>
        <v>538.55879903765413</v>
      </c>
      <c r="K60" s="12">
        <f t="shared" si="11"/>
        <v>290045.58002088033</v>
      </c>
      <c r="L60" s="12">
        <f t="shared" si="12"/>
        <v>31.732194145513443</v>
      </c>
    </row>
    <row r="61" spans="1:12" x14ac:dyDescent="0.15">
      <c r="A61" s="9">
        <v>43983</v>
      </c>
      <c r="B61" s="8">
        <v>1557.7</v>
      </c>
      <c r="C61" s="14">
        <f t="shared" si="5"/>
        <v>1567.4253772168568</v>
      </c>
      <c r="D61" s="14">
        <f t="shared" si="6"/>
        <v>50.743332956758607</v>
      </c>
      <c r="E61" s="14">
        <f t="shared" si="7"/>
        <v>0.98931948969813166</v>
      </c>
      <c r="F61" s="14">
        <f t="shared" si="8"/>
        <v>1529.6378973123285</v>
      </c>
      <c r="G61" s="14"/>
      <c r="I61" s="12">
        <f t="shared" si="9"/>
        <v>28.06210268767154</v>
      </c>
      <c r="J61" s="12">
        <f t="shared" si="10"/>
        <v>28.06210268767154</v>
      </c>
      <c r="K61" s="12">
        <f t="shared" si="11"/>
        <v>787.48160725342234</v>
      </c>
      <c r="L61" s="12">
        <f t="shared" si="12"/>
        <v>1.8015088070662864</v>
      </c>
    </row>
    <row r="62" spans="1:12" x14ac:dyDescent="0.15">
      <c r="A62" s="9">
        <v>44013</v>
      </c>
      <c r="B62" s="8">
        <v>1528</v>
      </c>
      <c r="C62" s="14">
        <f t="shared" si="5"/>
        <v>1645.1463227301556</v>
      </c>
      <c r="D62" s="14">
        <f t="shared" si="6"/>
        <v>64.232139235028711</v>
      </c>
      <c r="E62" s="14">
        <f t="shared" si="7"/>
        <v>0.92130031342436591</v>
      </c>
      <c r="F62" s="14">
        <f t="shared" si="8"/>
        <v>1478.6952910409414</v>
      </c>
      <c r="G62" s="14"/>
      <c r="I62" s="12">
        <f t="shared" si="9"/>
        <v>49.304708959058644</v>
      </c>
      <c r="J62" s="12">
        <f t="shared" si="10"/>
        <v>49.304708959058644</v>
      </c>
      <c r="K62" s="12">
        <f t="shared" si="11"/>
        <v>2430.9543255374779</v>
      </c>
      <c r="L62" s="12">
        <f t="shared" si="12"/>
        <v>3.2267479685247804</v>
      </c>
    </row>
    <row r="63" spans="1:12" x14ac:dyDescent="0.15">
      <c r="A63" s="9">
        <v>44044</v>
      </c>
      <c r="B63" s="8">
        <v>1236.8</v>
      </c>
      <c r="C63" s="14">
        <f t="shared" si="5"/>
        <v>1583.9862700533577</v>
      </c>
      <c r="D63" s="14">
        <f t="shared" si="6"/>
        <v>1.5360432791153897</v>
      </c>
      <c r="E63" s="14">
        <f t="shared" si="7"/>
        <v>0.81437733439002247</v>
      </c>
      <c r="F63" s="14">
        <f t="shared" si="8"/>
        <v>1449.4500652657916</v>
      </c>
      <c r="G63" s="14"/>
      <c r="I63" s="12">
        <f t="shared" si="9"/>
        <v>-212.65006526579168</v>
      </c>
      <c r="J63" s="12">
        <f t="shared" si="10"/>
        <v>212.65006526579168</v>
      </c>
      <c r="K63" s="12">
        <f t="shared" si="11"/>
        <v>45220.050257545459</v>
      </c>
      <c r="L63" s="12">
        <f t="shared" si="12"/>
        <v>17.19356931321084</v>
      </c>
    </row>
    <row r="64" spans="1:12" x14ac:dyDescent="0.15">
      <c r="A64" s="9">
        <v>44075</v>
      </c>
      <c r="B64" s="8">
        <v>1360.2</v>
      </c>
      <c r="C64" s="14">
        <f t="shared" si="5"/>
        <v>1566.5251858035795</v>
      </c>
      <c r="D64" s="14">
        <f t="shared" si="6"/>
        <v>-7.9625204853314031</v>
      </c>
      <c r="E64" s="14">
        <f t="shared" si="7"/>
        <v>0.87362065821317136</v>
      </c>
      <c r="F64" s="14">
        <f t="shared" si="8"/>
        <v>1393.5950557169344</v>
      </c>
      <c r="G64" s="14"/>
      <c r="I64" s="12">
        <f t="shared" si="9"/>
        <v>-33.395055716934394</v>
      </c>
      <c r="J64" s="12">
        <f t="shared" si="10"/>
        <v>33.395055716934394</v>
      </c>
      <c r="K64" s="12">
        <f t="shared" si="11"/>
        <v>1115.2297463371526</v>
      </c>
      <c r="L64" s="12">
        <f t="shared" si="12"/>
        <v>2.4551577501054545</v>
      </c>
    </row>
    <row r="65" spans="1:12" x14ac:dyDescent="0.15">
      <c r="A65" s="9">
        <v>44105</v>
      </c>
      <c r="B65" s="8">
        <v>1562.4</v>
      </c>
      <c r="C65" s="14">
        <f t="shared" si="5"/>
        <v>1581.6829714642222</v>
      </c>
      <c r="D65" s="14">
        <f t="shared" si="6"/>
        <v>3.5976325876556636</v>
      </c>
      <c r="E65" s="14">
        <f t="shared" si="7"/>
        <v>0.98069292372196804</v>
      </c>
      <c r="F65" s="14">
        <f t="shared" si="8"/>
        <v>1517.3811907459924</v>
      </c>
      <c r="G65" s="14"/>
      <c r="I65" s="12">
        <f t="shared" si="9"/>
        <v>45.018809254007692</v>
      </c>
      <c r="J65" s="12">
        <f t="shared" si="10"/>
        <v>45.018809254007692</v>
      </c>
      <c r="K65" s="12">
        <f t="shared" si="11"/>
        <v>2026.6931866487287</v>
      </c>
      <c r="L65" s="12">
        <f t="shared" si="12"/>
        <v>2.8813882011013625</v>
      </c>
    </row>
    <row r="66" spans="1:12" x14ac:dyDescent="0.15">
      <c r="A66" s="9">
        <v>44136</v>
      </c>
      <c r="B66" s="8">
        <v>2070.6999999999998</v>
      </c>
      <c r="C66" s="14">
        <f t="shared" si="5"/>
        <v>1721.8073490053559</v>
      </c>
      <c r="D66" s="14">
        <f t="shared" si="6"/>
        <v>71.861005064394703</v>
      </c>
      <c r="E66" s="14">
        <f t="shared" si="7"/>
        <v>1.1584546066041961</v>
      </c>
      <c r="F66" s="14">
        <f t="shared" si="8"/>
        <v>1766.442620560854</v>
      </c>
      <c r="G66" s="14"/>
      <c r="I66" s="12">
        <f t="shared" si="9"/>
        <v>304.25737943914578</v>
      </c>
      <c r="J66" s="12">
        <f t="shared" si="10"/>
        <v>304.25737943914578</v>
      </c>
      <c r="K66" s="12">
        <f t="shared" si="11"/>
        <v>92572.552943176328</v>
      </c>
      <c r="L66" s="12">
        <f t="shared" si="12"/>
        <v>14.693455326176935</v>
      </c>
    </row>
    <row r="67" spans="1:12" x14ac:dyDescent="0.15">
      <c r="A67" s="9">
        <v>44166</v>
      </c>
      <c r="B67" s="8">
        <v>3012.7</v>
      </c>
      <c r="C67" s="14">
        <f t="shared" si="5"/>
        <v>1737.555729814118</v>
      </c>
      <c r="D67" s="14">
        <f t="shared" si="6"/>
        <v>43.804692936578363</v>
      </c>
      <c r="E67" s="14">
        <f t="shared" si="7"/>
        <v>1.7628035844449323</v>
      </c>
      <c r="F67" s="14">
        <f t="shared" si="8"/>
        <v>3213.7778747566299</v>
      </c>
      <c r="G67" s="14"/>
      <c r="I67" s="12">
        <f t="shared" si="9"/>
        <v>-201.07787475663008</v>
      </c>
      <c r="J67" s="12">
        <f t="shared" si="10"/>
        <v>201.07787475663008</v>
      </c>
      <c r="K67" s="12">
        <f t="shared" si="11"/>
        <v>40432.311716643009</v>
      </c>
      <c r="L67" s="12">
        <f t="shared" si="12"/>
        <v>6.6743411145029405</v>
      </c>
    </row>
    <row r="68" spans="1:12" x14ac:dyDescent="0.15">
      <c r="A68" s="9">
        <v>44197</v>
      </c>
      <c r="B68" s="8">
        <v>1514</v>
      </c>
      <c r="C68" s="14">
        <f t="shared" si="5"/>
        <v>1713.2543685122766</v>
      </c>
      <c r="D68" s="14">
        <f t="shared" si="6"/>
        <v>9.7516658173685187</v>
      </c>
      <c r="E68" s="14">
        <f t="shared" si="7"/>
        <v>0.90199004212070877</v>
      </c>
      <c r="F68" s="14">
        <f t="shared" si="8"/>
        <v>1639.3535200715073</v>
      </c>
      <c r="G68" s="14"/>
      <c r="I68" s="12">
        <f t="shared" si="9"/>
        <v>-125.35352007150732</v>
      </c>
      <c r="J68" s="12">
        <f t="shared" si="10"/>
        <v>125.35352007150732</v>
      </c>
      <c r="K68" s="12">
        <f t="shared" si="11"/>
        <v>15713.504994317787</v>
      </c>
      <c r="L68" s="12">
        <f t="shared" si="12"/>
        <v>8.2796248395975773</v>
      </c>
    </row>
    <row r="69" spans="1:12" x14ac:dyDescent="0.15">
      <c r="A69" s="9">
        <v>44228</v>
      </c>
      <c r="B69" s="8">
        <v>1197.7</v>
      </c>
      <c r="C69" s="14">
        <f t="shared" si="5"/>
        <v>1671.4647174477186</v>
      </c>
      <c r="D69" s="14">
        <f t="shared" si="6"/>
        <v>-16.018992623594755</v>
      </c>
      <c r="E69" s="14">
        <f t="shared" si="7"/>
        <v>0.7279565502501828</v>
      </c>
      <c r="F69" s="14">
        <f t="shared" si="8"/>
        <v>1273.9147583125507</v>
      </c>
      <c r="G69" s="14"/>
      <c r="I69" s="12">
        <f t="shared" si="9"/>
        <v>-76.214758312550657</v>
      </c>
      <c r="J69" s="12">
        <f t="shared" si="10"/>
        <v>76.214758312550657</v>
      </c>
      <c r="K69" s="12">
        <f t="shared" si="11"/>
        <v>5808.6893846405092</v>
      </c>
      <c r="L69" s="12">
        <f t="shared" si="12"/>
        <v>6.3634264266970568</v>
      </c>
    </row>
    <row r="70" spans="1:12" x14ac:dyDescent="0.15">
      <c r="A70" s="9">
        <v>44256</v>
      </c>
      <c r="B70" s="8">
        <v>1600.2</v>
      </c>
      <c r="C70" s="14">
        <f t="shared" si="5"/>
        <v>1735.472458979963</v>
      </c>
      <c r="D70" s="14">
        <f t="shared" si="6"/>
        <v>23.994374454324813</v>
      </c>
      <c r="E70" s="14">
        <f t="shared" si="7"/>
        <v>0.90173243093330058</v>
      </c>
      <c r="F70" s="14">
        <f t="shared" si="8"/>
        <v>1459.1271970151795</v>
      </c>
      <c r="G70" s="14"/>
      <c r="I70" s="12">
        <f t="shared" si="9"/>
        <v>141.07280298482056</v>
      </c>
      <c r="J70" s="12">
        <f t="shared" si="10"/>
        <v>141.07280298482056</v>
      </c>
      <c r="K70" s="12">
        <f t="shared" si="11"/>
        <v>19901.535741993994</v>
      </c>
      <c r="L70" s="12">
        <f t="shared" si="12"/>
        <v>8.8159481930271575</v>
      </c>
    </row>
    <row r="71" spans="1:12" x14ac:dyDescent="0.15">
      <c r="A71" s="9">
        <v>44287</v>
      </c>
      <c r="B71" s="8">
        <v>1596.8</v>
      </c>
      <c r="C71" s="14">
        <f t="shared" si="5"/>
        <v>1747.6032205183528</v>
      </c>
      <c r="D71" s="14">
        <f t="shared" si="6"/>
        <v>18.062567996357323</v>
      </c>
      <c r="E71" s="14">
        <f t="shared" si="7"/>
        <v>0.91683110229660825</v>
      </c>
      <c r="F71" s="14">
        <f t="shared" si="8"/>
        <v>1618.6279481797758</v>
      </c>
      <c r="G71" s="14"/>
      <c r="I71" s="12">
        <f t="shared" si="9"/>
        <v>-21.827948179775831</v>
      </c>
      <c r="J71" s="12">
        <f t="shared" si="10"/>
        <v>21.827948179775831</v>
      </c>
      <c r="K71" s="12">
        <f t="shared" si="11"/>
        <v>476.45932173897899</v>
      </c>
      <c r="L71" s="12">
        <f t="shared" si="12"/>
        <v>1.3669807226813522</v>
      </c>
    </row>
    <row r="72" spans="1:12" x14ac:dyDescent="0.15">
      <c r="A72" s="9">
        <v>44317</v>
      </c>
      <c r="B72" s="8">
        <v>1602.1</v>
      </c>
      <c r="C72" s="14">
        <f t="shared" si="5"/>
        <v>1656.7114308660448</v>
      </c>
      <c r="D72" s="14">
        <f t="shared" si="6"/>
        <v>-36.414610827975352</v>
      </c>
      <c r="E72" s="14">
        <f t="shared" si="7"/>
        <v>1.001073502037767</v>
      </c>
      <c r="F72" s="14">
        <f t="shared" si="8"/>
        <v>1827.6596558522856</v>
      </c>
      <c r="G72" s="14"/>
      <c r="I72" s="12">
        <f t="shared" si="9"/>
        <v>-225.55965585228569</v>
      </c>
      <c r="J72" s="12">
        <f t="shared" si="10"/>
        <v>225.55965585228569</v>
      </c>
      <c r="K72" s="12">
        <f t="shared" si="11"/>
        <v>50877.158348201556</v>
      </c>
      <c r="L72" s="12">
        <f t="shared" si="12"/>
        <v>14.078999803525729</v>
      </c>
    </row>
    <row r="73" spans="1:12" x14ac:dyDescent="0.15">
      <c r="A73" s="9">
        <v>44348</v>
      </c>
      <c r="B73" s="8">
        <v>1560.2</v>
      </c>
      <c r="C73" s="14">
        <f t="shared" si="5"/>
        <v>1598.6702253913668</v>
      </c>
      <c r="D73" s="14">
        <f t="shared" si="6"/>
        <v>-47.22790815132668</v>
      </c>
      <c r="E73" s="14">
        <f t="shared" si="7"/>
        <v>0.98262779955467305</v>
      </c>
      <c r="F73" s="14">
        <f t="shared" si="8"/>
        <v>1602.9912231595683</v>
      </c>
      <c r="G73" s="14"/>
      <c r="I73" s="12">
        <f t="shared" si="9"/>
        <v>-42.79122315956829</v>
      </c>
      <c r="J73" s="12">
        <f t="shared" si="10"/>
        <v>42.79122315956829</v>
      </c>
      <c r="K73" s="12">
        <f t="shared" si="11"/>
        <v>1831.0887794919736</v>
      </c>
      <c r="L73" s="12">
        <f t="shared" si="12"/>
        <v>2.7426755005491787</v>
      </c>
    </row>
    <row r="74" spans="1:12" x14ac:dyDescent="0.15">
      <c r="A74" s="9">
        <v>44378</v>
      </c>
      <c r="B74" s="8">
        <v>1313.9</v>
      </c>
      <c r="C74" s="14">
        <f t="shared" si="5"/>
        <v>1488.7894062125922</v>
      </c>
      <c r="D74" s="14">
        <f t="shared" si="6"/>
        <v>-78.55436366505063</v>
      </c>
      <c r="E74" s="14">
        <f t="shared" si="7"/>
        <v>0.90191471519077182</v>
      </c>
      <c r="F74" s="14">
        <f t="shared" si="8"/>
        <v>1429.3442931330735</v>
      </c>
      <c r="G74" s="14"/>
      <c r="I74" s="12">
        <f t="shared" si="9"/>
        <v>-115.44429313307342</v>
      </c>
      <c r="J74" s="12">
        <f t="shared" si="10"/>
        <v>115.44429313307342</v>
      </c>
      <c r="K74" s="12">
        <f t="shared" si="11"/>
        <v>13327.384816994982</v>
      </c>
      <c r="L74" s="12">
        <f t="shared" si="12"/>
        <v>8.7863835248552711</v>
      </c>
    </row>
    <row r="75" spans="1:12" x14ac:dyDescent="0.15">
      <c r="A75" s="9">
        <v>44409</v>
      </c>
      <c r="B75" s="8">
        <v>1032.5</v>
      </c>
      <c r="C75" s="14">
        <f t="shared" si="5"/>
        <v>1339.0374232645067</v>
      </c>
      <c r="D75" s="14">
        <f t="shared" si="6"/>
        <v>-114.15317330656805</v>
      </c>
      <c r="E75" s="14">
        <f t="shared" si="7"/>
        <v>0.7927268090203593</v>
      </c>
      <c r="F75" s="14">
        <f t="shared" si="8"/>
        <v>1148.4634548132667</v>
      </c>
      <c r="G75" s="14"/>
      <c r="I75" s="12">
        <f t="shared" si="9"/>
        <v>-115.96345481326671</v>
      </c>
      <c r="J75" s="12">
        <f t="shared" si="10"/>
        <v>115.96345481326671</v>
      </c>
      <c r="K75" s="12">
        <f t="shared" si="11"/>
        <v>13447.522852228549</v>
      </c>
      <c r="L75" s="12">
        <f t="shared" si="12"/>
        <v>11.231327342689269</v>
      </c>
    </row>
    <row r="76" spans="1:12" x14ac:dyDescent="0.15">
      <c r="A76" s="9">
        <v>44440</v>
      </c>
      <c r="B76" s="8">
        <v>1137.5999999999999</v>
      </c>
      <c r="C76" s="14">
        <f t="shared" si="5"/>
        <v>1263.5256297616684</v>
      </c>
      <c r="D76" s="14">
        <f t="shared" si="6"/>
        <v>-94.832483404703211</v>
      </c>
      <c r="E76" s="14">
        <f t="shared" si="7"/>
        <v>0.88697927432005907</v>
      </c>
      <c r="F76" s="14">
        <f t="shared" si="8"/>
        <v>1070.0841846832011</v>
      </c>
      <c r="G76" s="14"/>
      <c r="I76" s="12">
        <f t="shared" si="9"/>
        <v>67.515815316798808</v>
      </c>
      <c r="J76" s="12">
        <f t="shared" si="10"/>
        <v>67.515815316798808</v>
      </c>
      <c r="K76" s="12">
        <f t="shared" si="11"/>
        <v>4558.3853178920845</v>
      </c>
      <c r="L76" s="12">
        <f t="shared" si="12"/>
        <v>5.9349345390997552</v>
      </c>
    </row>
    <row r="77" spans="1:12" x14ac:dyDescent="0.15">
      <c r="A77" s="9">
        <v>44470</v>
      </c>
      <c r="B77" s="8">
        <v>1493.4</v>
      </c>
      <c r="C77" s="14">
        <f t="shared" si="5"/>
        <v>1345.746989086545</v>
      </c>
      <c r="D77" s="14">
        <f t="shared" si="6"/>
        <v>-6.3055620399132906</v>
      </c>
      <c r="E77" s="14">
        <f t="shared" si="7"/>
        <v>1.0452055892121357</v>
      </c>
      <c r="F77" s="14">
        <f t="shared" si="8"/>
        <v>1146.129098634638</v>
      </c>
      <c r="G77" s="14"/>
      <c r="I77" s="12">
        <f t="shared" si="9"/>
        <v>347.27090136536208</v>
      </c>
      <c r="J77" s="12">
        <f t="shared" si="10"/>
        <v>347.27090136536208</v>
      </c>
      <c r="K77" s="12">
        <f t="shared" si="11"/>
        <v>120597.07893511104</v>
      </c>
      <c r="L77" s="12">
        <f t="shared" si="12"/>
        <v>23.253709747245349</v>
      </c>
    </row>
    <row r="78" spans="1:12" x14ac:dyDescent="0.15">
      <c r="A78" s="9">
        <v>44501</v>
      </c>
      <c r="B78" s="8">
        <v>2106.1999999999998</v>
      </c>
      <c r="C78" s="14">
        <f t="shared" si="5"/>
        <v>1578.776617825838</v>
      </c>
      <c r="D78" s="14">
        <f t="shared" si="6"/>
        <v>113.36203334968985</v>
      </c>
      <c r="E78" s="14">
        <f t="shared" si="7"/>
        <v>1.246262771214109</v>
      </c>
      <c r="F78" s="14">
        <f t="shared" si="8"/>
        <v>1551.682091438669</v>
      </c>
      <c r="G78" s="14"/>
      <c r="I78" s="12">
        <f>B78-F78</f>
        <v>554.51790856133084</v>
      </c>
      <c r="J78" s="12">
        <f>ABS(I78)</f>
        <v>554.51790856133084</v>
      </c>
      <c r="K78" s="12">
        <f>I78*I78</f>
        <v>307490.11091523245</v>
      </c>
      <c r="L78" s="12">
        <f>(J78/B78)*100</f>
        <v>26.327884747950382</v>
      </c>
    </row>
    <row r="79" spans="1:12" x14ac:dyDescent="0.15">
      <c r="A79" s="9">
        <v>44531</v>
      </c>
      <c r="B79" s="8">
        <v>2765.5</v>
      </c>
      <c r="C79" s="14">
        <f t="shared" ref="C79:C97" si="13">$O$2*(B79/E67)+(1-$O$2)*(C78+D78)</f>
        <v>1630.4732218592803</v>
      </c>
      <c r="D79" s="14">
        <f t="shared" ref="D79:D97" si="14">$O$3*(C79-C78)+(1-$O$3)*D78</f>
        <v>82.52931869156609</v>
      </c>
      <c r="E79" s="14">
        <f t="shared" ref="E79:E97" si="15">$O$4*(B79/C79)+(1-$O$4)*E67</f>
        <v>1.7294684648067644</v>
      </c>
      <c r="F79" s="14">
        <f t="shared" ref="F79:F96" si="16">(C78+D78)*E67</f>
        <v>2982.9080796700337</v>
      </c>
      <c r="G79" s="14"/>
      <c r="I79" s="12">
        <f t="shared" ref="I79:I97" si="17">B79-F79</f>
        <v>-217.40807967003366</v>
      </c>
      <c r="J79" s="12">
        <f t="shared" si="10"/>
        <v>217.40807967003366</v>
      </c>
      <c r="K79" s="12">
        <f t="shared" ref="K79:K97" si="18">I79*I79</f>
        <v>47266.273105811699</v>
      </c>
      <c r="L79" s="12">
        <f t="shared" ref="L79:L97" si="19">(J79/B79)*100</f>
        <v>7.8614384259639722</v>
      </c>
    </row>
    <row r="80" spans="1:12" x14ac:dyDescent="0.15">
      <c r="A80" s="9">
        <v>44562</v>
      </c>
      <c r="B80" s="8">
        <v>1446.9</v>
      </c>
      <c r="C80" s="14">
        <f t="shared" si="13"/>
        <v>1658.5611226204278</v>
      </c>
      <c r="D80" s="14">
        <f t="shared" si="14"/>
        <v>55.308609726356778</v>
      </c>
      <c r="E80" s="14">
        <f t="shared" si="15"/>
        <v>0.88718636193598766</v>
      </c>
      <c r="F80" s="14">
        <f t="shared" si="16"/>
        <v>1545.1112337043389</v>
      </c>
      <c r="G80" s="14"/>
      <c r="I80" s="12">
        <f t="shared" si="17"/>
        <v>-98.211233704338838</v>
      </c>
      <c r="J80" s="12">
        <f t="shared" ref="J80:J97" si="20">ABS(I80)</f>
        <v>98.211233704338838</v>
      </c>
      <c r="K80" s="12">
        <f t="shared" si="18"/>
        <v>9645.4464257282616</v>
      </c>
      <c r="L80" s="12">
        <f t="shared" si="19"/>
        <v>6.7877001661717351</v>
      </c>
    </row>
    <row r="81" spans="1:12" x14ac:dyDescent="0.15">
      <c r="A81" s="9">
        <v>44593</v>
      </c>
      <c r="B81" s="8">
        <v>1259.5999999999999</v>
      </c>
      <c r="C81" s="14">
        <f t="shared" si="13"/>
        <v>1722.0963923435345</v>
      </c>
      <c r="D81" s="14">
        <f t="shared" si="14"/>
        <v>59.421939724731736</v>
      </c>
      <c r="E81" s="14">
        <f t="shared" si="15"/>
        <v>0.72969531791090758</v>
      </c>
      <c r="F81" s="14">
        <f t="shared" si="16"/>
        <v>1247.6226979373694</v>
      </c>
      <c r="G81" s="14"/>
      <c r="I81" s="12">
        <f t="shared" si="17"/>
        <v>11.977302062630542</v>
      </c>
      <c r="J81" s="12">
        <f t="shared" si="20"/>
        <v>11.977302062630542</v>
      </c>
      <c r="K81" s="12">
        <f t="shared" si="18"/>
        <v>143.45576469949384</v>
      </c>
      <c r="L81" s="12">
        <f t="shared" si="19"/>
        <v>0.9508813958900082</v>
      </c>
    </row>
    <row r="82" spans="1:12" x14ac:dyDescent="0.15">
      <c r="A82" s="9">
        <v>44621</v>
      </c>
      <c r="B82" s="8">
        <v>1599.3</v>
      </c>
      <c r="C82" s="14">
        <f t="shared" si="13"/>
        <v>1777.5521575785933</v>
      </c>
      <c r="D82" s="14">
        <f t="shared" si="14"/>
        <v>57.438852479895289</v>
      </c>
      <c r="E82" s="14">
        <f t="shared" si="15"/>
        <v>0.90072643283956522</v>
      </c>
      <c r="F82" s="14">
        <f t="shared" si="16"/>
        <v>1606.4528563281567</v>
      </c>
      <c r="G82" s="14"/>
      <c r="I82" s="12">
        <f t="shared" si="17"/>
        <v>-7.1528563281567585</v>
      </c>
      <c r="J82" s="12">
        <f t="shared" si="20"/>
        <v>7.1528563281567585</v>
      </c>
      <c r="K82" s="12">
        <f t="shared" si="18"/>
        <v>51.163353651252187</v>
      </c>
      <c r="L82" s="12">
        <f t="shared" si="19"/>
        <v>0.44724919203131114</v>
      </c>
    </row>
    <row r="83" spans="1:12" x14ac:dyDescent="0.15">
      <c r="A83" s="9">
        <v>44652</v>
      </c>
      <c r="B83" s="8">
        <v>1725</v>
      </c>
      <c r="C83" s="14">
        <f t="shared" si="13"/>
        <v>1858.2358418693536</v>
      </c>
      <c r="D83" s="14">
        <f t="shared" si="14"/>
        <v>69.061268385327793</v>
      </c>
      <c r="E83" s="14">
        <f t="shared" si="15"/>
        <v>0.92256546181429355</v>
      </c>
      <c r="F83" s="14">
        <f t="shared" si="16"/>
        <v>1682.3768304562907</v>
      </c>
      <c r="G83" s="14"/>
      <c r="I83" s="12">
        <f t="shared" si="17"/>
        <v>42.623169543709309</v>
      </c>
      <c r="J83" s="12">
        <f t="shared" si="20"/>
        <v>42.623169543709309</v>
      </c>
      <c r="K83" s="12">
        <f t="shared" si="18"/>
        <v>1816.7345819517889</v>
      </c>
      <c r="L83" s="12">
        <f t="shared" si="19"/>
        <v>2.4709083793454671</v>
      </c>
    </row>
    <row r="84" spans="1:12" x14ac:dyDescent="0.15">
      <c r="A84" s="9">
        <v>44682</v>
      </c>
      <c r="B84" s="8">
        <v>1767.6</v>
      </c>
      <c r="C84" s="14">
        <f t="shared" si="13"/>
        <v>1846.5008114311513</v>
      </c>
      <c r="D84" s="14">
        <f t="shared" si="14"/>
        <v>28.663118973562732</v>
      </c>
      <c r="E84" s="14">
        <f t="shared" si="15"/>
        <v>0.9791717965756741</v>
      </c>
      <c r="F84" s="14">
        <f t="shared" si="16"/>
        <v>1929.3660676299223</v>
      </c>
      <c r="G84" s="14"/>
      <c r="I84" s="12">
        <f t="shared" si="17"/>
        <v>-161.76606762992242</v>
      </c>
      <c r="J84" s="12">
        <f t="shared" si="20"/>
        <v>161.76606762992242</v>
      </c>
      <c r="K84" s="12">
        <f t="shared" si="18"/>
        <v>26168.260636448635</v>
      </c>
      <c r="L84" s="12">
        <f t="shared" si="19"/>
        <v>9.1517349869836178</v>
      </c>
    </row>
    <row r="85" spans="1:12" x14ac:dyDescent="0.15">
      <c r="A85" s="9">
        <v>44713</v>
      </c>
      <c r="B85" s="8">
        <v>1817.9</v>
      </c>
      <c r="C85" s="14">
        <f t="shared" si="13"/>
        <v>1862.6015915674325</v>
      </c>
      <c r="D85" s="14">
        <f t="shared" si="14"/>
        <v>22.381949554921952</v>
      </c>
      <c r="E85" s="14">
        <f t="shared" si="15"/>
        <v>0.9793141270482113</v>
      </c>
      <c r="F85" s="14">
        <f t="shared" si="16"/>
        <v>1842.5882067378761</v>
      </c>
      <c r="G85" s="14"/>
      <c r="I85" s="12">
        <f t="shared" si="17"/>
        <v>-24.688206737876044</v>
      </c>
      <c r="J85" s="12">
        <f t="shared" si="20"/>
        <v>24.688206737876044</v>
      </c>
      <c r="K85" s="12">
        <f t="shared" si="18"/>
        <v>609.50755193210807</v>
      </c>
      <c r="L85" s="12">
        <f t="shared" si="19"/>
        <v>1.3580618701730591</v>
      </c>
    </row>
    <row r="86" spans="1:12" x14ac:dyDescent="0.15">
      <c r="A86" s="9">
        <v>44743</v>
      </c>
      <c r="B86" s="8">
        <v>1760.3</v>
      </c>
      <c r="C86" s="14">
        <f t="shared" si="13"/>
        <v>1918.3600928934411</v>
      </c>
      <c r="D86" s="14">
        <f t="shared" si="14"/>
        <v>39.070225440465293</v>
      </c>
      <c r="E86" s="14">
        <f t="shared" si="15"/>
        <v>0.90976068824249068</v>
      </c>
      <c r="F86" s="14">
        <f t="shared" si="16"/>
        <v>1700.0943936306608</v>
      </c>
      <c r="G86" s="14"/>
      <c r="I86" s="12">
        <f t="shared" si="17"/>
        <v>60.205606369339193</v>
      </c>
      <c r="J86" s="12">
        <f t="shared" si="20"/>
        <v>60.205606369339193</v>
      </c>
      <c r="K86" s="12">
        <f t="shared" si="18"/>
        <v>3624.7150382998161</v>
      </c>
      <c r="L86" s="12">
        <f t="shared" si="19"/>
        <v>3.4201901022177581</v>
      </c>
    </row>
    <row r="87" spans="1:12" x14ac:dyDescent="0.15">
      <c r="A87" s="9">
        <v>44774</v>
      </c>
      <c r="B87" s="8">
        <v>1618</v>
      </c>
      <c r="C87" s="14">
        <f t="shared" si="13"/>
        <v>1999.2432790620667</v>
      </c>
      <c r="D87" s="14">
        <f t="shared" si="14"/>
        <v>59.976705804545432</v>
      </c>
      <c r="E87" s="14">
        <f t="shared" si="15"/>
        <v>0.8010165092486573</v>
      </c>
      <c r="F87" s="14">
        <f t="shared" si="16"/>
        <v>1551.7074901325436</v>
      </c>
      <c r="G87" s="14"/>
      <c r="I87" s="12">
        <f t="shared" si="17"/>
        <v>66.292509867456374</v>
      </c>
      <c r="J87" s="12">
        <f t="shared" si="20"/>
        <v>66.292509867456374</v>
      </c>
      <c r="K87" s="12">
        <f t="shared" si="18"/>
        <v>4394.6968645268007</v>
      </c>
      <c r="L87" s="12">
        <f t="shared" si="19"/>
        <v>4.0971884961345104</v>
      </c>
    </row>
    <row r="88" spans="1:12" x14ac:dyDescent="0.15">
      <c r="A88" s="9">
        <v>44805</v>
      </c>
      <c r="B88" s="8">
        <v>1744.1</v>
      </c>
      <c r="C88" s="14">
        <f t="shared" si="13"/>
        <v>2012.7783992357045</v>
      </c>
      <c r="D88" s="14">
        <f t="shared" si="14"/>
        <v>36.755912989091605</v>
      </c>
      <c r="E88" s="14">
        <f t="shared" si="15"/>
        <v>0.87674647275163575</v>
      </c>
      <c r="F88" s="14">
        <f t="shared" si="16"/>
        <v>1826.4854478423508</v>
      </c>
      <c r="G88" s="14"/>
      <c r="I88" s="12">
        <f t="shared" si="17"/>
        <v>-82.385447842350914</v>
      </c>
      <c r="J88" s="12">
        <f t="shared" si="20"/>
        <v>82.385447842350914</v>
      </c>
      <c r="K88" s="12">
        <f t="shared" si="18"/>
        <v>6787.362016184723</v>
      </c>
      <c r="L88" s="12">
        <f t="shared" si="19"/>
        <v>4.7236653771200574</v>
      </c>
    </row>
    <row r="89" spans="1:12" x14ac:dyDescent="0.15">
      <c r="A89" s="9">
        <v>44835</v>
      </c>
      <c r="B89" s="8">
        <v>1830.9</v>
      </c>
      <c r="C89" s="14">
        <f t="shared" si="13"/>
        <v>1900.6235516853071</v>
      </c>
      <c r="D89" s="14">
        <f t="shared" si="14"/>
        <v>-37.699467280652868</v>
      </c>
      <c r="E89" s="14">
        <f t="shared" si="15"/>
        <v>1.0042605111950573</v>
      </c>
      <c r="F89" s="14">
        <f t="shared" si="16"/>
        <v>2142.1847184194071</v>
      </c>
      <c r="G89" s="14"/>
      <c r="I89" s="12">
        <f t="shared" si="17"/>
        <v>-311.284718419407</v>
      </c>
      <c r="J89" s="12">
        <f t="shared" si="20"/>
        <v>311.284718419407</v>
      </c>
      <c r="K89" s="12">
        <f t="shared" si="18"/>
        <v>96898.17592144951</v>
      </c>
      <c r="L89" s="12">
        <f t="shared" si="19"/>
        <v>17.001732394964606</v>
      </c>
    </row>
    <row r="90" spans="1:12" x14ac:dyDescent="0.15">
      <c r="A90" s="9">
        <v>44866</v>
      </c>
      <c r="B90" s="8">
        <v>2292.6</v>
      </c>
      <c r="C90" s="14">
        <f t="shared" si="13"/>
        <v>1851.2520146519371</v>
      </c>
      <c r="D90" s="14">
        <f t="shared" si="14"/>
        <v>-43.53550215701145</v>
      </c>
      <c r="E90" s="14">
        <f t="shared" si="15"/>
        <v>1.2423339528034614</v>
      </c>
      <c r="F90" s="14">
        <f t="shared" si="16"/>
        <v>2321.6929319916512</v>
      </c>
      <c r="G90" s="14"/>
      <c r="I90" s="12">
        <f t="shared" si="17"/>
        <v>-29.092931991651312</v>
      </c>
      <c r="J90" s="12">
        <f t="shared" si="20"/>
        <v>29.092931991651312</v>
      </c>
      <c r="K90" s="12">
        <f t="shared" si="18"/>
        <v>846.39869187084844</v>
      </c>
      <c r="L90" s="12">
        <f t="shared" si="19"/>
        <v>1.2689929334228087</v>
      </c>
    </row>
    <row r="91" spans="1:12" x14ac:dyDescent="0.15">
      <c r="A91" s="9">
        <v>44896</v>
      </c>
      <c r="B91" s="8">
        <v>3088.2</v>
      </c>
      <c r="C91" s="14">
        <f t="shared" si="13"/>
        <v>1796.6759233059506</v>
      </c>
      <c r="D91" s="14">
        <f t="shared" si="14"/>
        <v>-49.05579675149896</v>
      </c>
      <c r="E91" s="14">
        <f t="shared" si="15"/>
        <v>1.7241546654210398</v>
      </c>
      <c r="F91" s="14">
        <f t="shared" si="16"/>
        <v>3126.3887016704371</v>
      </c>
      <c r="G91" s="14"/>
      <c r="I91" s="12">
        <f t="shared" si="17"/>
        <v>-38.18870167043724</v>
      </c>
      <c r="J91" s="12">
        <f t="shared" si="20"/>
        <v>38.18870167043724</v>
      </c>
      <c r="K91" s="12">
        <f t="shared" si="18"/>
        <v>1458.376935273656</v>
      </c>
      <c r="L91" s="12">
        <f t="shared" si="19"/>
        <v>1.2366006628598289</v>
      </c>
    </row>
    <row r="92" spans="1:12" x14ac:dyDescent="0.15">
      <c r="A92" s="9">
        <v>44927</v>
      </c>
      <c r="B92" s="8">
        <v>1687.8</v>
      </c>
      <c r="C92" s="14">
        <f t="shared" si="13"/>
        <v>1825.0194553585811</v>
      </c>
      <c r="D92" s="14">
        <f t="shared" si="14"/>
        <v>-10.356132349434226</v>
      </c>
      <c r="E92" s="14">
        <f t="shared" si="15"/>
        <v>0.90599921040628817</v>
      </c>
      <c r="F92" s="14">
        <f t="shared" si="16"/>
        <v>1550.4647421239542</v>
      </c>
      <c r="G92" s="14"/>
      <c r="I92" s="12">
        <f t="shared" si="17"/>
        <v>137.33525787604572</v>
      </c>
      <c r="J92" s="12">
        <f t="shared" si="20"/>
        <v>137.33525787604572</v>
      </c>
      <c r="K92" s="12">
        <f t="shared" si="18"/>
        <v>18860.973055879978</v>
      </c>
      <c r="L92" s="12">
        <f t="shared" si="19"/>
        <v>8.1369390849653822</v>
      </c>
    </row>
    <row r="93" spans="1:12" x14ac:dyDescent="0.15">
      <c r="A93" s="9">
        <v>44958</v>
      </c>
      <c r="B93" s="8">
        <v>1356.7</v>
      </c>
      <c r="C93" s="14">
        <f t="shared" si="13"/>
        <v>1836.9662409645221</v>
      </c>
      <c r="D93" s="14">
        <f t="shared" si="14"/>
        <v>0.79532662825335265</v>
      </c>
      <c r="E93" s="14">
        <f t="shared" si="15"/>
        <v>0.73412499507232432</v>
      </c>
      <c r="F93" s="14">
        <f t="shared" si="16"/>
        <v>1324.1513303844235</v>
      </c>
      <c r="G93" s="14"/>
      <c r="I93" s="12">
        <f t="shared" si="17"/>
        <v>32.5486696155765</v>
      </c>
      <c r="J93" s="12">
        <f t="shared" si="20"/>
        <v>32.5486696155765</v>
      </c>
      <c r="K93" s="12">
        <f t="shared" si="18"/>
        <v>1059.4158937439529</v>
      </c>
      <c r="L93" s="12">
        <f t="shared" si="19"/>
        <v>2.3991058904383062</v>
      </c>
    </row>
    <row r="94" spans="1:12" x14ac:dyDescent="0.15">
      <c r="A94" s="9">
        <v>44986</v>
      </c>
      <c r="B94" s="8">
        <v>1674.2</v>
      </c>
      <c r="C94" s="14">
        <f t="shared" si="13"/>
        <v>1848.2417634237081</v>
      </c>
      <c r="D94" s="14">
        <f t="shared" si="14"/>
        <v>6.0354245437197012</v>
      </c>
      <c r="E94" s="14">
        <f t="shared" si="15"/>
        <v>0.90328015432586295</v>
      </c>
      <c r="F94" s="14">
        <f t="shared" si="16"/>
        <v>1655.3204211874881</v>
      </c>
      <c r="G94" s="14"/>
      <c r="I94" s="12">
        <f t="shared" si="17"/>
        <v>18.879578812511909</v>
      </c>
      <c r="J94" s="12">
        <f t="shared" si="20"/>
        <v>18.879578812511909</v>
      </c>
      <c r="K94" s="12">
        <f t="shared" si="18"/>
        <v>356.43849613784857</v>
      </c>
      <c r="L94" s="12">
        <f t="shared" si="19"/>
        <v>1.1276776258817292</v>
      </c>
    </row>
    <row r="95" spans="1:12" x14ac:dyDescent="0.15">
      <c r="A95" s="9">
        <v>45017</v>
      </c>
      <c r="B95" s="8">
        <v>1820.6</v>
      </c>
      <c r="C95" s="14">
        <f t="shared" si="13"/>
        <v>1913.8436438452461</v>
      </c>
      <c r="D95" s="14">
        <f t="shared" si="14"/>
        <v>35.818652482628849</v>
      </c>
      <c r="E95" s="14">
        <f t="shared" si="15"/>
        <v>0.93692242223064914</v>
      </c>
      <c r="F95" s="14">
        <f t="shared" si="16"/>
        <v>1710.6920902488796</v>
      </c>
      <c r="G95" s="14"/>
      <c r="I95" s="12">
        <f t="shared" si="17"/>
        <v>109.90790975112031</v>
      </c>
      <c r="J95" s="12">
        <f t="shared" si="20"/>
        <v>109.90790975112031</v>
      </c>
      <c r="K95" s="12">
        <f t="shared" si="18"/>
        <v>12079.748625860408</v>
      </c>
      <c r="L95" s="12">
        <f t="shared" si="19"/>
        <v>6.0369059513962604</v>
      </c>
    </row>
    <row r="96" spans="1:12" x14ac:dyDescent="0.15">
      <c r="A96" s="16">
        <v>45047</v>
      </c>
      <c r="B96" s="8">
        <v>1833.5</v>
      </c>
      <c r="C96" s="14">
        <f t="shared" si="13"/>
        <v>1911.081562244517</v>
      </c>
      <c r="D96" s="14">
        <f t="shared" si="14"/>
        <v>16.528285440949894</v>
      </c>
      <c r="E96" s="24">
        <f t="shared" si="15"/>
        <v>0.96928808270078293</v>
      </c>
      <c r="F96" s="14">
        <f t="shared" si="16"/>
        <v>1909.0543334112194</v>
      </c>
      <c r="G96" s="14"/>
      <c r="I96" s="12">
        <f t="shared" si="17"/>
        <v>-75.554333411219432</v>
      </c>
      <c r="J96" s="12">
        <f t="shared" si="20"/>
        <v>75.554333411219432</v>
      </c>
      <c r="K96" s="12">
        <f t="shared" si="18"/>
        <v>5708.4572972137094</v>
      </c>
      <c r="L96" s="12">
        <f t="shared" si="19"/>
        <v>4.1207708432625809</v>
      </c>
    </row>
    <row r="97" spans="1:12" x14ac:dyDescent="0.15">
      <c r="A97" s="9">
        <v>45078</v>
      </c>
      <c r="B97" s="8">
        <v>1777.5</v>
      </c>
      <c r="C97" s="14">
        <f t="shared" si="13"/>
        <v>1871.3278273250062</v>
      </c>
      <c r="D97" s="14">
        <f t="shared" si="14"/>
        <v>-11.612724739280484</v>
      </c>
      <c r="E97" s="14">
        <f t="shared" si="15"/>
        <v>0.96458721046176721</v>
      </c>
      <c r="F97" s="14">
        <f>(C96+D96)*E85</f>
        <v>1887.7355552756287</v>
      </c>
      <c r="G97" s="11">
        <f>F97</f>
        <v>1887.7355552756287</v>
      </c>
      <c r="H97" s="13" t="s">
        <v>75</v>
      </c>
      <c r="I97" s="12">
        <f t="shared" si="17"/>
        <v>-110.23555527562871</v>
      </c>
      <c r="J97" s="12">
        <f t="shared" si="20"/>
        <v>110.23555527562871</v>
      </c>
      <c r="K97" s="12">
        <f t="shared" si="18"/>
        <v>12151.877646926194</v>
      </c>
      <c r="L97" s="12">
        <f t="shared" si="19"/>
        <v>6.2017190028483107</v>
      </c>
    </row>
    <row r="98" spans="1:12" x14ac:dyDescent="0.15">
      <c r="A98" s="9">
        <v>45108</v>
      </c>
      <c r="F98" s="14"/>
      <c r="G98" s="14">
        <f>($C$97+($D$97*H98))*E86</f>
        <v>1691.895691663344</v>
      </c>
      <c r="H98" s="22">
        <v>1</v>
      </c>
      <c r="I98" s="23"/>
    </row>
    <row r="99" spans="1:12" x14ac:dyDescent="0.15">
      <c r="A99" s="9">
        <v>45139</v>
      </c>
      <c r="F99" s="14"/>
      <c r="G99" s="14">
        <f t="shared" ref="G99:G109" si="21">($C$97+($D$97*H99))*E87</f>
        <v>1480.3605154367026</v>
      </c>
      <c r="H99" s="22">
        <v>2</v>
      </c>
      <c r="I99" s="23"/>
    </row>
    <row r="100" spans="1:12" x14ac:dyDescent="0.15">
      <c r="A100" s="9">
        <v>45170</v>
      </c>
      <c r="F100" s="14"/>
      <c r="G100" s="14">
        <f t="shared" si="21"/>
        <v>1610.1358256065819</v>
      </c>
      <c r="H100" s="22">
        <v>3</v>
      </c>
      <c r="I100" s="23"/>
      <c r="J100" s="28" t="s">
        <v>48</v>
      </c>
      <c r="K100" s="28" t="s">
        <v>49</v>
      </c>
      <c r="L100" s="28" t="s">
        <v>50</v>
      </c>
    </row>
    <row r="101" spans="1:12" x14ac:dyDescent="0.15">
      <c r="A101" s="9">
        <v>45200</v>
      </c>
      <c r="F101" s="14"/>
      <c r="G101" s="14">
        <f t="shared" si="21"/>
        <v>1832.6518369507974</v>
      </c>
      <c r="H101" s="22">
        <v>4</v>
      </c>
      <c r="I101" s="23"/>
      <c r="J101" s="35">
        <f>AVERAGE(J14:J97)</f>
        <v>88.993663664542353</v>
      </c>
      <c r="K101" s="12">
        <f t="shared" ref="K101:L101" si="22">AVERAGE(K14:K97)</f>
        <v>18200.858598780684</v>
      </c>
      <c r="L101" s="35">
        <f t="shared" si="22"/>
        <v>5.4603097326968184</v>
      </c>
    </row>
    <row r="102" spans="1:12" x14ac:dyDescent="0.15">
      <c r="A102" s="9">
        <v>45231</v>
      </c>
      <c r="F102" s="14"/>
      <c r="G102" s="14">
        <f t="shared" si="21"/>
        <v>2252.679685570944</v>
      </c>
      <c r="H102" s="22">
        <v>5</v>
      </c>
      <c r="I102" s="23"/>
    </row>
    <row r="103" spans="1:12" x14ac:dyDescent="0.15">
      <c r="A103" s="9">
        <v>45261</v>
      </c>
      <c r="F103" s="14"/>
      <c r="G103" s="14">
        <f t="shared" si="21"/>
        <v>3106.3258027897427</v>
      </c>
      <c r="H103" s="22">
        <v>6</v>
      </c>
      <c r="I103" s="23"/>
      <c r="K103" s="28" t="s">
        <v>51</v>
      </c>
    </row>
    <row r="104" spans="1:12" x14ac:dyDescent="0.15">
      <c r="A104" s="9">
        <v>45292</v>
      </c>
      <c r="F104" s="14"/>
      <c r="G104" s="14">
        <f t="shared" si="21"/>
        <v>1621.7736978565945</v>
      </c>
      <c r="H104" s="22">
        <v>7</v>
      </c>
      <c r="I104" s="23"/>
      <c r="K104" s="14">
        <f>SQRT(K101)</f>
        <v>134.91055777358821</v>
      </c>
    </row>
    <row r="105" spans="1:12" x14ac:dyDescent="0.15">
      <c r="A105" s="9">
        <v>45323</v>
      </c>
      <c r="F105" s="14"/>
      <c r="G105" s="14">
        <f>($C$97+($D$97*H105))*E93</f>
        <v>1305.5870000776692</v>
      </c>
      <c r="H105" s="22">
        <v>8</v>
      </c>
      <c r="I105" s="23"/>
    </row>
    <row r="106" spans="1:12" x14ac:dyDescent="0.15">
      <c r="A106" s="9">
        <v>45352</v>
      </c>
      <c r="F106" s="14"/>
      <c r="G106" s="14">
        <f t="shared" si="21"/>
        <v>1595.9273945086441</v>
      </c>
      <c r="H106" s="22">
        <v>9</v>
      </c>
      <c r="I106" s="23"/>
    </row>
    <row r="107" spans="1:12" x14ac:dyDescent="0.15">
      <c r="A107" s="9">
        <v>45383</v>
      </c>
      <c r="F107" s="14"/>
      <c r="G107" s="14">
        <f t="shared" si="21"/>
        <v>1644.4867788507183</v>
      </c>
      <c r="H107" s="22">
        <v>10</v>
      </c>
      <c r="I107" s="23"/>
    </row>
    <row r="108" spans="1:12" x14ac:dyDescent="0.15">
      <c r="A108" s="16">
        <v>45413</v>
      </c>
      <c r="F108" s="14"/>
      <c r="G108" s="24">
        <f t="shared" si="21"/>
        <v>1690.0389291803167</v>
      </c>
      <c r="H108" s="22">
        <v>11</v>
      </c>
      <c r="I108" s="23"/>
    </row>
    <row r="109" spans="1:12" x14ac:dyDescent="0.15">
      <c r="A109" s="16">
        <v>45444</v>
      </c>
      <c r="F109" s="14"/>
      <c r="G109" s="24">
        <f t="shared" si="21"/>
        <v>1670.6410596734322</v>
      </c>
      <c r="H109" s="22">
        <v>12</v>
      </c>
      <c r="I109" s="23"/>
    </row>
    <row r="110" spans="1:12" x14ac:dyDescent="0.15">
      <c r="I110" s="23"/>
    </row>
    <row r="111" spans="1:12" x14ac:dyDescent="0.15">
      <c r="I111" s="23"/>
    </row>
    <row r="112" spans="1:12" x14ac:dyDescent="0.15">
      <c r="I112" s="23"/>
    </row>
    <row r="113" spans="9:9" x14ac:dyDescent="0.15">
      <c r="I113" s="23"/>
    </row>
    <row r="114" spans="9:9" x14ac:dyDescent="0.15">
      <c r="I114" s="23"/>
    </row>
    <row r="115" spans="9:9" x14ac:dyDescent="0.15">
      <c r="I115" s="23"/>
    </row>
    <row r="116" spans="9:9" x14ac:dyDescent="0.15">
      <c r="I116" s="23"/>
    </row>
    <row r="117" spans="9:9" x14ac:dyDescent="0.15">
      <c r="I117" s="23"/>
    </row>
    <row r="118" spans="9:9" x14ac:dyDescent="0.15">
      <c r="I118" s="23"/>
    </row>
    <row r="119" spans="9:9" x14ac:dyDescent="0.15">
      <c r="I119" s="23"/>
    </row>
    <row r="120" spans="9:9" x14ac:dyDescent="0.15">
      <c r="I120" s="23"/>
    </row>
    <row r="121" spans="9:9" x14ac:dyDescent="0.15">
      <c r="I121" s="23"/>
    </row>
    <row r="122" spans="9:9" x14ac:dyDescent="0.15">
      <c r="I122" s="23"/>
    </row>
    <row r="123" spans="9:9" x14ac:dyDescent="0.15">
      <c r="I123" s="23"/>
    </row>
    <row r="124" spans="9:9" x14ac:dyDescent="0.15">
      <c r="I124" s="23"/>
    </row>
    <row r="125" spans="9:9" x14ac:dyDescent="0.15">
      <c r="I125" s="23"/>
    </row>
    <row r="126" spans="9:9" x14ac:dyDescent="0.15">
      <c r="I126" s="23"/>
    </row>
    <row r="127" spans="9:9" x14ac:dyDescent="0.15">
      <c r="I127" s="23"/>
    </row>
    <row r="128" spans="9:9" x14ac:dyDescent="0.15">
      <c r="I128" s="23"/>
    </row>
    <row r="129" spans="9:9" x14ac:dyDescent="0.15">
      <c r="I129" s="23"/>
    </row>
    <row r="130" spans="9:9" x14ac:dyDescent="0.15">
      <c r="I130" s="23"/>
    </row>
    <row r="131" spans="9:9" x14ac:dyDescent="0.15">
      <c r="I131" s="23"/>
    </row>
    <row r="132" spans="9:9" x14ac:dyDescent="0.15">
      <c r="I132" s="23"/>
    </row>
    <row r="133" spans="9:9" x14ac:dyDescent="0.15">
      <c r="I133" s="23"/>
    </row>
    <row r="134" spans="9:9" x14ac:dyDescent="0.15">
      <c r="I134" s="23"/>
    </row>
    <row r="135" spans="9:9" x14ac:dyDescent="0.15">
      <c r="I135" s="23"/>
    </row>
    <row r="136" spans="9:9" x14ac:dyDescent="0.15">
      <c r="I136" s="23"/>
    </row>
    <row r="137" spans="9:9" x14ac:dyDescent="0.15">
      <c r="I137" s="23"/>
    </row>
    <row r="138" spans="9:9" x14ac:dyDescent="0.15">
      <c r="I138" s="23"/>
    </row>
    <row r="139" spans="9:9" x14ac:dyDescent="0.15">
      <c r="I139" s="23"/>
    </row>
    <row r="140" spans="9:9" x14ac:dyDescent="0.15">
      <c r="I140" s="23"/>
    </row>
    <row r="141" spans="9:9" x14ac:dyDescent="0.15">
      <c r="I141" s="23"/>
    </row>
  </sheetData>
  <pageMargins left="0.7" right="0.7" top="0.75" bottom="0.75" header="0.3" footer="0.3"/>
  <pageSetup paperSize="0" orientation="portrait" horizontalDpi="0" verticalDpi="0" copies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01E06-1BB7-B149-B184-DFE29930F9EA}">
  <dimension ref="A1:W141"/>
  <sheetViews>
    <sheetView tabSelected="1" zoomScale="61" zoomScaleNormal="68" workbookViewId="0">
      <pane xSplit="1" ySplit="1" topLeftCell="B2" activePane="bottomRight" state="frozen"/>
      <selection pane="topRight" activeCell="B1" sqref="B1"/>
      <selection pane="bottomLeft" activeCell="A11" sqref="A11"/>
      <selection pane="bottomRight" activeCell="N21" sqref="N21"/>
    </sheetView>
  </sheetViews>
  <sheetFormatPr baseColWidth="10" defaultColWidth="14.6640625" defaultRowHeight="11" x14ac:dyDescent="0.15"/>
  <cols>
    <col min="1" max="1" width="14.6640625" style="1"/>
    <col min="2" max="2" width="18.33203125" style="1" customWidth="1"/>
    <col min="3" max="7" width="14.6640625" style="1"/>
    <col min="8" max="8" width="8" style="1" customWidth="1"/>
    <col min="9" max="16" width="14.6640625" style="1"/>
    <col min="17" max="17" width="17.83203125" style="1" bestFit="1" customWidth="1"/>
    <col min="18" max="16384" width="14.6640625" style="1"/>
  </cols>
  <sheetData>
    <row r="1" spans="1:23" s="2" customFormat="1" ht="12" x14ac:dyDescent="0.15">
      <c r="A1" s="2" t="s">
        <v>89</v>
      </c>
      <c r="B1" s="3" t="s">
        <v>92</v>
      </c>
      <c r="C1" s="1" t="s">
        <v>54</v>
      </c>
      <c r="D1" s="1" t="s">
        <v>35</v>
      </c>
      <c r="E1" s="1" t="s">
        <v>55</v>
      </c>
      <c r="F1" s="1" t="s">
        <v>90</v>
      </c>
      <c r="G1" s="1" t="s">
        <v>86</v>
      </c>
      <c r="H1" s="1"/>
      <c r="I1" s="1" t="s">
        <v>44</v>
      </c>
      <c r="J1" s="1" t="s">
        <v>45</v>
      </c>
      <c r="K1" s="1" t="s">
        <v>46</v>
      </c>
      <c r="L1" s="1" t="s">
        <v>47</v>
      </c>
      <c r="M1" s="1"/>
    </row>
    <row r="2" spans="1:23" x14ac:dyDescent="0.15">
      <c r="A2" s="9">
        <v>42186</v>
      </c>
      <c r="B2" s="8">
        <v>1540.9</v>
      </c>
      <c r="E2" s="14">
        <f>B2/$C$13</f>
        <v>0.96777029926831581</v>
      </c>
      <c r="N2" s="36" t="s">
        <v>43</v>
      </c>
      <c r="O2" s="24">
        <v>0.53209663173072175</v>
      </c>
    </row>
    <row r="3" spans="1:23" x14ac:dyDescent="0.15">
      <c r="A3" s="9">
        <v>42217</v>
      </c>
      <c r="B3" s="8">
        <v>1331.9</v>
      </c>
      <c r="E3" s="14">
        <f t="shared" ref="E3:E13" si="0">B3/$C$13</f>
        <v>0.83650675682748388</v>
      </c>
      <c r="N3" s="36" t="s">
        <v>52</v>
      </c>
      <c r="O3" s="24">
        <v>0</v>
      </c>
    </row>
    <row r="4" spans="1:23" x14ac:dyDescent="0.15">
      <c r="A4" s="9">
        <v>42248</v>
      </c>
      <c r="B4" s="8">
        <v>1400.1</v>
      </c>
      <c r="E4" s="14">
        <f t="shared" si="0"/>
        <v>0.87934012330817624</v>
      </c>
      <c r="N4" s="36" t="s">
        <v>53</v>
      </c>
      <c r="O4" s="24">
        <v>0.63648727204720457</v>
      </c>
    </row>
    <row r="5" spans="1:23" x14ac:dyDescent="0.15">
      <c r="A5" s="9">
        <v>42278</v>
      </c>
      <c r="B5" s="8">
        <v>1566.3</v>
      </c>
      <c r="E5" s="14">
        <f t="shared" si="0"/>
        <v>0.98372290203385226</v>
      </c>
    </row>
    <row r="6" spans="1:23" x14ac:dyDescent="0.15">
      <c r="A6" s="9">
        <v>42309</v>
      </c>
      <c r="B6" s="8">
        <v>1730.5</v>
      </c>
      <c r="E6" s="14">
        <f t="shared" si="0"/>
        <v>1.086849570305549</v>
      </c>
    </row>
    <row r="7" spans="1:23" ht="15" x14ac:dyDescent="0.2">
      <c r="A7" s="9">
        <v>42339</v>
      </c>
      <c r="B7" s="8">
        <v>2913.6</v>
      </c>
      <c r="C7" s="10"/>
      <c r="E7" s="14">
        <f t="shared" si="0"/>
        <v>1.8299017093569763</v>
      </c>
      <c r="N7"/>
      <c r="O7"/>
      <c r="P7" s="17" t="s">
        <v>57</v>
      </c>
      <c r="Q7" s="17"/>
      <c r="R7"/>
    </row>
    <row r="8" spans="1:23" ht="15" x14ac:dyDescent="0.2">
      <c r="A8" s="9">
        <v>42370</v>
      </c>
      <c r="B8" s="8">
        <v>1519.2</v>
      </c>
      <c r="E8" s="14">
        <f t="shared" si="0"/>
        <v>0.95414150084264093</v>
      </c>
      <c r="N8"/>
      <c r="O8" s="18" t="s">
        <v>58</v>
      </c>
      <c r="P8" s="18" t="s">
        <v>59</v>
      </c>
      <c r="Q8" s="18" t="s">
        <v>60</v>
      </c>
      <c r="R8" s="18" t="s">
        <v>61</v>
      </c>
      <c r="T8" s="1" t="s">
        <v>78</v>
      </c>
      <c r="V8" s="1" t="s">
        <v>43</v>
      </c>
      <c r="W8" s="25">
        <v>0.05</v>
      </c>
    </row>
    <row r="9" spans="1:23" ht="15" x14ac:dyDescent="0.2">
      <c r="A9" s="9">
        <v>42401</v>
      </c>
      <c r="B9" s="8">
        <v>1155.8</v>
      </c>
      <c r="E9" s="14">
        <f t="shared" si="0"/>
        <v>0.72590623135461052</v>
      </c>
      <c r="N9" t="s">
        <v>70</v>
      </c>
      <c r="O9" s="8">
        <v>1540.9</v>
      </c>
      <c r="P9" s="8">
        <v>1468.3</v>
      </c>
      <c r="Q9" s="20">
        <f>P9-O9</f>
        <v>-72.600000000000136</v>
      </c>
      <c r="R9" s="20">
        <f>Q9/12</f>
        <v>-6.0500000000000114</v>
      </c>
    </row>
    <row r="10" spans="1:23" ht="15" x14ac:dyDescent="0.2">
      <c r="A10" s="9">
        <v>42430</v>
      </c>
      <c r="B10" s="8">
        <v>1451.5</v>
      </c>
      <c r="E10" s="14">
        <f t="shared" si="0"/>
        <v>0.9116221619754431</v>
      </c>
      <c r="N10" t="s">
        <v>71</v>
      </c>
      <c r="O10" s="8">
        <v>1331.9</v>
      </c>
      <c r="P10" s="8">
        <v>1293.9000000000001</v>
      </c>
      <c r="Q10" s="20">
        <f t="shared" ref="Q10:Q20" si="1">P10-O10</f>
        <v>-38</v>
      </c>
      <c r="R10" s="20">
        <f t="shared" ref="R10:R20" si="2">Q10/12</f>
        <v>-3.1666666666666665</v>
      </c>
      <c r="T10" s="26" t="s">
        <v>80</v>
      </c>
      <c r="U10" s="26" t="s">
        <v>79</v>
      </c>
      <c r="V10" s="26" t="s">
        <v>81</v>
      </c>
      <c r="W10" s="26" t="s">
        <v>82</v>
      </c>
    </row>
    <row r="11" spans="1:23" ht="15" x14ac:dyDescent="0.2">
      <c r="A11" s="9">
        <v>42461</v>
      </c>
      <c r="B11" s="8">
        <v>1451</v>
      </c>
      <c r="E11" s="14">
        <f t="shared" si="0"/>
        <v>0.91130813436194835</v>
      </c>
      <c r="N11" t="s">
        <v>72</v>
      </c>
      <c r="O11" s="8">
        <v>1400.1</v>
      </c>
      <c r="P11" s="8">
        <v>1393.5</v>
      </c>
      <c r="Q11" s="20">
        <f t="shared" si="1"/>
        <v>-6.5999999999999091</v>
      </c>
      <c r="R11" s="20">
        <f t="shared" si="2"/>
        <v>-0.54999999999999238</v>
      </c>
    </row>
    <row r="12" spans="1:23" ht="15" x14ac:dyDescent="0.2">
      <c r="A12" s="9">
        <v>42491</v>
      </c>
      <c r="B12" s="8">
        <v>1449.7</v>
      </c>
      <c r="E12" s="14">
        <f t="shared" si="0"/>
        <v>0.91049166256686187</v>
      </c>
      <c r="N12" t="s">
        <v>73</v>
      </c>
      <c r="O12" s="8">
        <v>1566.3</v>
      </c>
      <c r="P12" s="8">
        <v>1497.4</v>
      </c>
      <c r="Q12" s="20">
        <f t="shared" si="1"/>
        <v>-68.899999999999864</v>
      </c>
      <c r="R12" s="20">
        <f t="shared" si="2"/>
        <v>-5.7416666666666556</v>
      </c>
      <c r="T12" s="1">
        <f>T11+1</f>
        <v>1</v>
      </c>
      <c r="U12" s="1">
        <f>[2]!ACF($I$14:$I$97,T12)</f>
        <v>6.142022205480497E-2</v>
      </c>
      <c r="V12" s="1">
        <f>-W12</f>
        <v>-0.21384960282242985</v>
      </c>
      <c r="W12" s="1">
        <f>_xlfn.NORM.S.INV(1-$W$8/2)/SQRT(COUNT($I$14:$I$97))</f>
        <v>0.21384960282242985</v>
      </c>
    </row>
    <row r="13" spans="1:23" ht="15" x14ac:dyDescent="0.2">
      <c r="A13" s="9">
        <v>42522</v>
      </c>
      <c r="B13" s="8">
        <v>1596.1</v>
      </c>
      <c r="C13" s="8">
        <f>AVERAGE(B2:B13)</f>
        <v>1592.2166666666665</v>
      </c>
      <c r="D13" s="14">
        <f>R22</f>
        <v>-3.440277777777776</v>
      </c>
      <c r="E13" s="14">
        <f t="shared" si="0"/>
        <v>1.002438947798143</v>
      </c>
      <c r="N13" t="s">
        <v>62</v>
      </c>
      <c r="O13" s="8">
        <v>1730.5</v>
      </c>
      <c r="P13" s="8">
        <v>1684.3</v>
      </c>
      <c r="Q13" s="20">
        <f t="shared" si="1"/>
        <v>-46.200000000000045</v>
      </c>
      <c r="R13" s="20">
        <f t="shared" si="2"/>
        <v>-3.8500000000000036</v>
      </c>
      <c r="T13" s="1">
        <f t="shared" ref="T13:T35" si="3">T12+1</f>
        <v>2</v>
      </c>
      <c r="U13" s="1">
        <f>[2]!ACF($I$14:$I$97,T13)</f>
        <v>-0.14183697146252638</v>
      </c>
      <c r="V13" s="1">
        <f>-W13</f>
        <v>-0.21465482243574274</v>
      </c>
      <c r="W13" s="1">
        <f>_xlfn.NORM.S.INV(1-$W$8/2)*SQRT((1+2*SUMSQ(U$12:U12))/COUNT($I$14:$I$97))</f>
        <v>0.21465482243574274</v>
      </c>
    </row>
    <row r="14" spans="1:23" ht="15" x14ac:dyDescent="0.2">
      <c r="A14" s="9">
        <v>42552</v>
      </c>
      <c r="B14" s="8">
        <v>1468.3</v>
      </c>
      <c r="C14" s="14">
        <f>$O$2*(B14/E2)+(1-$O$2)*(C13+D13)</f>
        <v>1550.6902297230886</v>
      </c>
      <c r="D14" s="14">
        <f>$O$3*(C14-C13)+(1-$O$3)*D13</f>
        <v>-3.440277777777776</v>
      </c>
      <c r="E14" s="14">
        <f>$O$4*(B14/C14)+(1-$O$4)*E2</f>
        <v>0.95446668016211567</v>
      </c>
      <c r="F14" s="14">
        <f>(C13+D13)*E2</f>
        <v>1537.5706013454339</v>
      </c>
      <c r="G14" s="14"/>
      <c r="I14" s="12">
        <f>B14-F14</f>
        <v>-69.270601345433988</v>
      </c>
      <c r="J14" s="12">
        <f>ABS(I14)</f>
        <v>69.270601345433988</v>
      </c>
      <c r="K14" s="12">
        <f>I14*I14</f>
        <v>4798.4162107580414</v>
      </c>
      <c r="L14" s="12">
        <f>(J14/B14)*100</f>
        <v>4.7177416975709319</v>
      </c>
      <c r="N14" t="s">
        <v>63</v>
      </c>
      <c r="O14" s="8">
        <v>2913.6</v>
      </c>
      <c r="P14" s="8">
        <v>2850.4</v>
      </c>
      <c r="Q14" s="20">
        <f t="shared" si="1"/>
        <v>-63.199999999999818</v>
      </c>
      <c r="R14" s="20">
        <f t="shared" si="2"/>
        <v>-5.2666666666666515</v>
      </c>
      <c r="T14" s="1">
        <f t="shared" si="3"/>
        <v>3</v>
      </c>
      <c r="U14" s="1">
        <f>[2]!ACF($I$14:$I$97,T14)</f>
        <v>-0.12997844742145268</v>
      </c>
      <c r="V14" s="1">
        <f t="shared" ref="V14:V35" si="4">-W14</f>
        <v>-0.21889889573136209</v>
      </c>
      <c r="W14" s="1">
        <f>_xlfn.NORM.S.INV(1-$W$8/2)*SQRT((1+2*SUMSQ(U$12:U13))/COUNT($I$14:$I$97))</f>
        <v>0.21889889573136209</v>
      </c>
    </row>
    <row r="15" spans="1:23" ht="15" x14ac:dyDescent="0.2">
      <c r="A15" s="9">
        <v>42583</v>
      </c>
      <c r="B15" s="8">
        <v>1293.9000000000001</v>
      </c>
      <c r="C15" s="14">
        <f t="shared" ref="C15:C78" si="5">$O$2*(B15/E3)+(1-$O$2)*(C14+D14)</f>
        <v>1547.0050308915688</v>
      </c>
      <c r="D15" s="14">
        <f t="shared" ref="D15:D78" si="6">$O$3*(C15-C14)+(1-$O$3)*D14</f>
        <v>-3.440277777777776</v>
      </c>
      <c r="E15" s="14">
        <f t="shared" ref="E15:E78" si="7">$O$4*(B15/C15)+(1-$O$4)*E3</f>
        <v>0.83643263276189006</v>
      </c>
      <c r="F15" s="14">
        <f t="shared" ref="F15:F78" si="8">(C14+D14)*E3</f>
        <v>1294.2850393032522</v>
      </c>
      <c r="G15" s="14"/>
      <c r="I15" s="12">
        <f t="shared" ref="I15:I77" si="9">B15-F15</f>
        <v>-0.38503930325214242</v>
      </c>
      <c r="J15" s="12">
        <f t="shared" ref="J15:J79" si="10">ABS(I15)</f>
        <v>0.38503930325214242</v>
      </c>
      <c r="K15" s="12">
        <f t="shared" ref="K15:K77" si="11">I15*I15</f>
        <v>0.1482552650488953</v>
      </c>
      <c r="L15" s="12">
        <f t="shared" ref="L15:L77" si="12">(J15/B15)*100</f>
        <v>2.9758041831064407E-2</v>
      </c>
      <c r="N15" t="s">
        <v>64</v>
      </c>
      <c r="O15" s="8">
        <v>1519.2</v>
      </c>
      <c r="P15" s="8">
        <v>1428.5</v>
      </c>
      <c r="Q15" s="20">
        <f t="shared" si="1"/>
        <v>-90.700000000000045</v>
      </c>
      <c r="R15" s="20">
        <f t="shared" si="2"/>
        <v>-7.5583333333333371</v>
      </c>
      <c r="T15" s="1">
        <f t="shared" si="3"/>
        <v>4</v>
      </c>
      <c r="U15" s="1">
        <f>[2]!ACF($I$14:$I$97,T15)</f>
        <v>2.7998071281125545E-3</v>
      </c>
      <c r="V15" s="1">
        <f t="shared" si="4"/>
        <v>-0.22240041349664891</v>
      </c>
      <c r="W15" s="1">
        <f>_xlfn.NORM.S.INV(1-$W$8/2)*SQRT((1+2*SUMSQ(U$12:U14))/COUNT($I$14:$I$97))</f>
        <v>0.22240041349664891</v>
      </c>
    </row>
    <row r="16" spans="1:23" ht="15" x14ac:dyDescent="0.2">
      <c r="A16" s="9">
        <v>42614</v>
      </c>
      <c r="B16" s="8">
        <v>1393.5</v>
      </c>
      <c r="C16" s="14">
        <f t="shared" si="5"/>
        <v>1565.4585529745609</v>
      </c>
      <c r="D16" s="14">
        <f t="shared" si="6"/>
        <v>-3.440277777777776</v>
      </c>
      <c r="E16" s="14">
        <f t="shared" si="7"/>
        <v>0.88622334639142841</v>
      </c>
      <c r="F16" s="14">
        <f t="shared" si="8"/>
        <v>1357.3184203372357</v>
      </c>
      <c r="G16" s="14"/>
      <c r="I16" s="12">
        <f t="shared" si="9"/>
        <v>36.181579662764307</v>
      </c>
      <c r="J16" s="12">
        <f t="shared" si="10"/>
        <v>36.181579662764307</v>
      </c>
      <c r="K16" s="12">
        <f t="shared" si="11"/>
        <v>1309.1067068929597</v>
      </c>
      <c r="L16" s="12">
        <f t="shared" si="12"/>
        <v>2.5964535100656123</v>
      </c>
      <c r="N16" t="s">
        <v>65</v>
      </c>
      <c r="O16" s="8">
        <v>1155.8</v>
      </c>
      <c r="P16" s="8">
        <v>1092.4000000000001</v>
      </c>
      <c r="Q16" s="20">
        <f t="shared" si="1"/>
        <v>-63.399999999999864</v>
      </c>
      <c r="R16" s="20">
        <f t="shared" si="2"/>
        <v>-5.2833333333333217</v>
      </c>
      <c r="T16" s="1">
        <f t="shared" si="3"/>
        <v>5</v>
      </c>
      <c r="U16" s="1">
        <f>[2]!ACF($I$14:$I$97,T16)</f>
        <v>2.9177291836112736E-2</v>
      </c>
      <c r="V16" s="1">
        <f t="shared" si="4"/>
        <v>-0.2224020253887295</v>
      </c>
      <c r="W16" s="1">
        <f>_xlfn.NORM.S.INV(1-$W$8/2)*SQRT((1+2*SUMSQ(U$12:U15))/COUNT($I$14:$I$97))</f>
        <v>0.2224020253887295</v>
      </c>
    </row>
    <row r="17" spans="1:23" ht="15" x14ac:dyDescent="0.2">
      <c r="A17" s="9">
        <v>42644</v>
      </c>
      <c r="B17" s="8">
        <v>1497.4</v>
      </c>
      <c r="C17" s="14">
        <f t="shared" si="5"/>
        <v>1540.8186635635457</v>
      </c>
      <c r="D17" s="14">
        <f t="shared" si="6"/>
        <v>-3.440277777777776</v>
      </c>
      <c r="E17" s="14">
        <f t="shared" si="7"/>
        <v>0.97614751995669391</v>
      </c>
      <c r="F17" s="14">
        <f t="shared" si="8"/>
        <v>1536.593150706492</v>
      </c>
      <c r="G17" s="14"/>
      <c r="I17" s="12">
        <f t="shared" si="9"/>
        <v>-39.193150706491906</v>
      </c>
      <c r="J17" s="12">
        <f t="shared" si="10"/>
        <v>39.193150706491906</v>
      </c>
      <c r="K17" s="12">
        <f t="shared" si="11"/>
        <v>1536.1030623017871</v>
      </c>
      <c r="L17" s="12">
        <f t="shared" si="12"/>
        <v>2.6174135639436291</v>
      </c>
      <c r="N17" t="s">
        <v>66</v>
      </c>
      <c r="O17" s="8">
        <v>1451.5</v>
      </c>
      <c r="P17" s="8">
        <v>1370.3</v>
      </c>
      <c r="Q17" s="20">
        <f t="shared" si="1"/>
        <v>-81.200000000000045</v>
      </c>
      <c r="R17" s="20">
        <f t="shared" si="2"/>
        <v>-6.7666666666666702</v>
      </c>
      <c r="T17" s="1">
        <f t="shared" si="3"/>
        <v>6</v>
      </c>
      <c r="U17" s="1">
        <f>[2]!ACF($I$14:$I$97,T17)</f>
        <v>-1.033699974426879E-2</v>
      </c>
      <c r="V17" s="1">
        <f t="shared" si="4"/>
        <v>-0.22257700897011773</v>
      </c>
      <c r="W17" s="1">
        <f>_xlfn.NORM.S.INV(1-$W$8/2)*SQRT((1+2*SUMSQ(U$12:U16))/COUNT($I$14:$I$97))</f>
        <v>0.22257700897011773</v>
      </c>
    </row>
    <row r="18" spans="1:23" ht="15" x14ac:dyDescent="0.2">
      <c r="A18" s="9">
        <v>42675</v>
      </c>
      <c r="B18" s="8">
        <v>1684.3</v>
      </c>
      <c r="C18" s="14">
        <f t="shared" si="5"/>
        <v>1543.9391895466526</v>
      </c>
      <c r="D18" s="14">
        <f t="shared" si="6"/>
        <v>-3.440277777777776</v>
      </c>
      <c r="E18" s="14">
        <f t="shared" si="7"/>
        <v>1.0894345175258415</v>
      </c>
      <c r="F18" s="14">
        <f t="shared" si="8"/>
        <v>1670.8990379883003</v>
      </c>
      <c r="G18" s="14"/>
      <c r="I18" s="12">
        <f t="shared" si="9"/>
        <v>13.400962011699676</v>
      </c>
      <c r="J18" s="12">
        <f t="shared" si="10"/>
        <v>13.400962011699676</v>
      </c>
      <c r="K18" s="12">
        <f t="shared" si="11"/>
        <v>179.58578283901781</v>
      </c>
      <c r="L18" s="12">
        <f t="shared" si="12"/>
        <v>0.79563985107757984</v>
      </c>
      <c r="N18" t="s">
        <v>67</v>
      </c>
      <c r="O18" s="8">
        <v>1451</v>
      </c>
      <c r="P18" s="8">
        <v>1522.6</v>
      </c>
      <c r="Q18" s="20">
        <f t="shared" si="1"/>
        <v>71.599999999999909</v>
      </c>
      <c r="R18" s="20">
        <f t="shared" si="2"/>
        <v>5.9666666666666588</v>
      </c>
      <c r="T18" s="1">
        <f t="shared" si="3"/>
        <v>7</v>
      </c>
      <c r="U18" s="1">
        <f>[2]!ACF($I$14:$I$97,T18)</f>
        <v>-0.14084160557352404</v>
      </c>
      <c r="V18" s="1">
        <f t="shared" si="4"/>
        <v>-0.22259896249129127</v>
      </c>
      <c r="W18" s="1">
        <f>_xlfn.NORM.S.INV(1-$W$8/2)*SQRT((1+2*SUMSQ(U$12:U17))/COUNT($I$14:$I$97))</f>
        <v>0.22259896249129127</v>
      </c>
    </row>
    <row r="19" spans="1:23" ht="15" x14ac:dyDescent="0.2">
      <c r="A19" s="9">
        <v>42705</v>
      </c>
      <c r="B19" s="8">
        <v>2850.4</v>
      </c>
      <c r="C19" s="14">
        <f t="shared" si="5"/>
        <v>1549.6405344948193</v>
      </c>
      <c r="D19" s="14">
        <f t="shared" si="6"/>
        <v>-3.440277777777776</v>
      </c>
      <c r="E19" s="14">
        <f t="shared" si="7"/>
        <v>1.8359436363632877</v>
      </c>
      <c r="F19" s="14">
        <f t="shared" si="8"/>
        <v>2818.9615919084258</v>
      </c>
      <c r="G19" s="14"/>
      <c r="I19" s="12">
        <f t="shared" si="9"/>
        <v>31.438408091574274</v>
      </c>
      <c r="J19" s="12">
        <f t="shared" si="10"/>
        <v>31.438408091574274</v>
      </c>
      <c r="K19" s="12">
        <f t="shared" si="11"/>
        <v>988.37350333236282</v>
      </c>
      <c r="L19" s="12">
        <f t="shared" si="12"/>
        <v>1.1029472386884043</v>
      </c>
      <c r="N19" t="s">
        <v>68</v>
      </c>
      <c r="O19" s="8">
        <v>1449.7</v>
      </c>
      <c r="P19" s="8">
        <v>1452.4</v>
      </c>
      <c r="Q19" s="20">
        <f t="shared" si="1"/>
        <v>2.7000000000000455</v>
      </c>
      <c r="R19" s="20">
        <f t="shared" si="2"/>
        <v>0.22500000000000378</v>
      </c>
      <c r="T19" s="1">
        <f t="shared" si="3"/>
        <v>8</v>
      </c>
      <c r="U19" s="1">
        <f>[2]!ACF($I$14:$I$97,T19)</f>
        <v>-0.10649842474534311</v>
      </c>
      <c r="V19" s="1">
        <f t="shared" si="4"/>
        <v>-0.22663758946021439</v>
      </c>
      <c r="W19" s="1">
        <f>_xlfn.NORM.S.INV(1-$W$8/2)*SQRT((1+2*SUMSQ(U$12:U18))/COUNT($I$14:$I$97))</f>
        <v>0.22663758946021439</v>
      </c>
    </row>
    <row r="20" spans="1:23" ht="15" x14ac:dyDescent="0.2">
      <c r="A20" s="9">
        <v>42736</v>
      </c>
      <c r="B20" s="8">
        <v>1428.5</v>
      </c>
      <c r="C20" s="14">
        <f t="shared" si="5"/>
        <v>1520.1047130327099</v>
      </c>
      <c r="D20" s="14">
        <f t="shared" si="6"/>
        <v>-3.440277777777776</v>
      </c>
      <c r="E20" s="14">
        <f t="shared" si="7"/>
        <v>0.94497378771026663</v>
      </c>
      <c r="F20" s="14">
        <f t="shared" si="8"/>
        <v>1475.2938335472747</v>
      </c>
      <c r="G20" s="14"/>
      <c r="I20" s="12">
        <f t="shared" si="9"/>
        <v>-46.793833547274744</v>
      </c>
      <c r="J20" s="12">
        <f t="shared" si="10"/>
        <v>46.793833547274744</v>
      </c>
      <c r="K20" s="12">
        <f t="shared" si="11"/>
        <v>2189.6628580500551</v>
      </c>
      <c r="L20" s="12">
        <f t="shared" si="12"/>
        <v>3.2757321349159776</v>
      </c>
      <c r="N20" t="s">
        <v>69</v>
      </c>
      <c r="O20" s="8">
        <v>1596.1</v>
      </c>
      <c r="P20" s="8">
        <v>1557.2</v>
      </c>
      <c r="Q20" s="20">
        <f t="shared" si="1"/>
        <v>-38.899999999999864</v>
      </c>
      <c r="R20" s="20">
        <f t="shared" si="2"/>
        <v>-3.2416666666666551</v>
      </c>
      <c r="T20" s="1">
        <f t="shared" si="3"/>
        <v>9</v>
      </c>
      <c r="U20" s="1">
        <f>[2]!ACF($I$14:$I$97,T20)</f>
        <v>-4.3818448885580605E-2</v>
      </c>
      <c r="V20" s="1">
        <f t="shared" si="4"/>
        <v>-0.22891475693361144</v>
      </c>
      <c r="W20" s="1">
        <f>_xlfn.NORM.S.INV(1-$W$8/2)*SQRT((1+2*SUMSQ(U$12:U19))/COUNT($I$14:$I$97))</f>
        <v>0.22891475693361144</v>
      </c>
    </row>
    <row r="21" spans="1:23" ht="15" x14ac:dyDescent="0.2">
      <c r="A21" s="9">
        <v>42767</v>
      </c>
      <c r="B21" s="8">
        <v>1092.4000000000001</v>
      </c>
      <c r="C21" s="14">
        <f t="shared" si="5"/>
        <v>1510.3926799307847</v>
      </c>
      <c r="D21" s="14">
        <f t="shared" si="6"/>
        <v>-3.440277777777776</v>
      </c>
      <c r="E21" s="14">
        <f t="shared" si="7"/>
        <v>0.72421915342239718</v>
      </c>
      <c r="F21" s="14">
        <f t="shared" si="8"/>
        <v>1100.9561644254766</v>
      </c>
      <c r="G21" s="14"/>
      <c r="I21" s="12">
        <f t="shared" si="9"/>
        <v>-8.5561644254764815</v>
      </c>
      <c r="J21" s="12">
        <f t="shared" si="10"/>
        <v>8.5561644254764815</v>
      </c>
      <c r="K21" s="12">
        <f t="shared" si="11"/>
        <v>73.207949675789294</v>
      </c>
      <c r="L21" s="12">
        <f t="shared" si="12"/>
        <v>0.78324463799674848</v>
      </c>
      <c r="N21"/>
      <c r="O21"/>
      <c r="P21"/>
      <c r="Q21"/>
      <c r="R21"/>
      <c r="T21" s="1">
        <f t="shared" si="3"/>
        <v>10</v>
      </c>
      <c r="U21" s="1">
        <f>[2]!ACF($I$14:$I$97,T21)</f>
        <v>-7.1786680129648964E-2</v>
      </c>
      <c r="V21" s="1">
        <f t="shared" si="4"/>
        <v>-0.22929801711382491</v>
      </c>
      <c r="W21" s="1">
        <f>_xlfn.NORM.S.INV(1-$W$8/2)*SQRT((1+2*SUMSQ(U$12:U20))/COUNT($I$14:$I$97))</f>
        <v>0.22929801711382491</v>
      </c>
    </row>
    <row r="22" spans="1:23" ht="15" x14ac:dyDescent="0.2">
      <c r="A22" s="9">
        <v>42795</v>
      </c>
      <c r="B22" s="8">
        <v>1370.3</v>
      </c>
      <c r="C22" s="14">
        <f t="shared" si="5"/>
        <v>1504.9263243027685</v>
      </c>
      <c r="D22" s="14">
        <f t="shared" si="6"/>
        <v>-3.440277777777776</v>
      </c>
      <c r="E22" s="14">
        <f t="shared" si="7"/>
        <v>0.91093523408557719</v>
      </c>
      <c r="F22" s="14">
        <f t="shared" si="8"/>
        <v>1373.7712068448116</v>
      </c>
      <c r="G22" s="14"/>
      <c r="I22" s="12">
        <f t="shared" si="9"/>
        <v>-3.4712068448116042</v>
      </c>
      <c r="J22" s="12">
        <f t="shared" si="10"/>
        <v>3.4712068448116042</v>
      </c>
      <c r="K22" s="12">
        <f t="shared" si="11"/>
        <v>12.049276959466933</v>
      </c>
      <c r="L22" s="12">
        <f t="shared" si="12"/>
        <v>0.25331729145527287</v>
      </c>
      <c r="N22"/>
      <c r="O22"/>
      <c r="P22"/>
      <c r="Q22" s="19" t="s">
        <v>74</v>
      </c>
      <c r="R22" s="21">
        <f>AVERAGE(R9:R20)</f>
        <v>-3.440277777777776</v>
      </c>
      <c r="T22" s="1">
        <f t="shared" si="3"/>
        <v>11</v>
      </c>
      <c r="U22" s="1">
        <f>[2]!ACF($I$14:$I$97,T22)</f>
        <v>-0.13464565590830915</v>
      </c>
      <c r="V22" s="1">
        <f t="shared" si="4"/>
        <v>-0.23032351380921334</v>
      </c>
      <c r="W22" s="1">
        <f>_xlfn.NORM.S.INV(1-$W$8/2)*SQRT((1+2*SUMSQ(U$12:U21))/COUNT($I$14:$I$97))</f>
        <v>0.23032351380921334</v>
      </c>
    </row>
    <row r="23" spans="1:23" x14ac:dyDescent="0.15">
      <c r="A23" s="9">
        <v>42826</v>
      </c>
      <c r="B23" s="8">
        <v>1522.6</v>
      </c>
      <c r="C23" s="14">
        <f t="shared" si="5"/>
        <v>1591.5694720383804</v>
      </c>
      <c r="D23" s="14">
        <f t="shared" si="6"/>
        <v>-3.440277777777776</v>
      </c>
      <c r="E23" s="14">
        <f t="shared" si="7"/>
        <v>0.94017767834833044</v>
      </c>
      <c r="F23" s="14">
        <f t="shared" si="8"/>
        <v>1368.3164478291869</v>
      </c>
      <c r="G23" s="14"/>
      <c r="I23" s="12">
        <f t="shared" si="9"/>
        <v>154.28355217081298</v>
      </c>
      <c r="J23" s="12">
        <f t="shared" si="10"/>
        <v>154.28355217081298</v>
      </c>
      <c r="K23" s="12">
        <f t="shared" si="11"/>
        <v>23803.414470443971</v>
      </c>
      <c r="L23" s="12">
        <f t="shared" si="12"/>
        <v>10.132901101458886</v>
      </c>
      <c r="T23" s="1">
        <f t="shared" si="3"/>
        <v>12</v>
      </c>
      <c r="U23" s="1">
        <f>[2]!ACF($I$14:$I$97,T23)</f>
        <v>6.0924268450673662E-2</v>
      </c>
      <c r="V23" s="1">
        <f t="shared" si="4"/>
        <v>-0.23389549092640591</v>
      </c>
      <c r="W23" s="1">
        <f>_xlfn.NORM.S.INV(1-$W$8/2)*SQRT((1+2*SUMSQ(U$12:U22))/COUNT($I$14:$I$97))</f>
        <v>0.23389549092640591</v>
      </c>
    </row>
    <row r="24" spans="1:23" x14ac:dyDescent="0.15">
      <c r="A24" s="9">
        <v>42856</v>
      </c>
      <c r="B24" s="8">
        <v>1452.4</v>
      </c>
      <c r="C24" s="14">
        <f t="shared" si="5"/>
        <v>1591.882020289182</v>
      </c>
      <c r="D24" s="14">
        <f t="shared" si="6"/>
        <v>-3.440277777777776</v>
      </c>
      <c r="E24" s="14">
        <f t="shared" si="7"/>
        <v>0.91169303845960303</v>
      </c>
      <c r="F24" s="14">
        <f t="shared" si="8"/>
        <v>1445.9783904533069</v>
      </c>
      <c r="G24" s="14"/>
      <c r="I24" s="12">
        <f t="shared" si="9"/>
        <v>6.421609546693162</v>
      </c>
      <c r="J24" s="12">
        <f t="shared" si="10"/>
        <v>6.421609546693162</v>
      </c>
      <c r="K24" s="12">
        <f t="shared" si="11"/>
        <v>41.23706917018076</v>
      </c>
      <c r="L24" s="12">
        <f t="shared" si="12"/>
        <v>0.44213780960432125</v>
      </c>
      <c r="T24" s="1">
        <f t="shared" si="3"/>
        <v>13</v>
      </c>
      <c r="U24" s="1">
        <f>[2]!ACF($I$14:$I$97,T24)</f>
        <v>-2.0764716057060619E-2</v>
      </c>
      <c r="V24" s="1">
        <f t="shared" si="4"/>
        <v>-0.23462009953725227</v>
      </c>
      <c r="W24" s="1">
        <f>_xlfn.NORM.S.INV(1-$W$8/2)*SQRT((1+2*SUMSQ(U$12:U23))/COUNT($I$14:$I$97))</f>
        <v>0.23462009953725227</v>
      </c>
    </row>
    <row r="25" spans="1:23" x14ac:dyDescent="0.15">
      <c r="A25" s="9">
        <v>42887</v>
      </c>
      <c r="B25" s="8">
        <v>1557.2</v>
      </c>
      <c r="C25" s="14">
        <f t="shared" si="5"/>
        <v>1569.8021678448508</v>
      </c>
      <c r="D25" s="14">
        <f t="shared" si="6"/>
        <v>-3.440277777777776</v>
      </c>
      <c r="E25" s="14">
        <f t="shared" si="7"/>
        <v>0.995776951443887</v>
      </c>
      <c r="F25" s="14">
        <f t="shared" si="8"/>
        <v>1592.315869001781</v>
      </c>
      <c r="G25" s="14"/>
      <c r="I25" s="12">
        <f t="shared" si="9"/>
        <v>-35.115869001780993</v>
      </c>
      <c r="J25" s="12">
        <f t="shared" si="10"/>
        <v>35.115869001780993</v>
      </c>
      <c r="K25" s="12">
        <f t="shared" si="11"/>
        <v>1233.1242557502433</v>
      </c>
      <c r="L25" s="12">
        <f t="shared" si="12"/>
        <v>2.2550647959016823</v>
      </c>
      <c r="T25" s="1">
        <f t="shared" si="3"/>
        <v>14</v>
      </c>
      <c r="U25" s="1">
        <f>[2]!ACF($I$14:$I$97,T25)</f>
        <v>-8.8098840837202499E-2</v>
      </c>
      <c r="V25" s="1">
        <f t="shared" si="4"/>
        <v>-0.23470412790188408</v>
      </c>
      <c r="W25" s="1">
        <f>_xlfn.NORM.S.INV(1-$W$8/2)*SQRT((1+2*SUMSQ(U$12:U24))/COUNT($I$14:$I$97))</f>
        <v>0.23470412790188408</v>
      </c>
    </row>
    <row r="26" spans="1:23" x14ac:dyDescent="0.15">
      <c r="A26" s="9">
        <v>42917</v>
      </c>
      <c r="B26" s="8">
        <v>1445.5</v>
      </c>
      <c r="C26" s="14">
        <f t="shared" si="5"/>
        <v>1538.7441725088104</v>
      </c>
      <c r="D26" s="14">
        <f t="shared" si="6"/>
        <v>-3.440277777777776</v>
      </c>
      <c r="E26" s="14">
        <f t="shared" si="7"/>
        <v>0.94487847054782237</v>
      </c>
      <c r="F26" s="14">
        <f t="shared" si="8"/>
        <v>1495.040233144776</v>
      </c>
      <c r="G26" s="14"/>
      <c r="I26" s="12">
        <f t="shared" si="9"/>
        <v>-49.540233144776039</v>
      </c>
      <c r="J26" s="12">
        <f t="shared" si="10"/>
        <v>49.540233144776039</v>
      </c>
      <c r="K26" s="12">
        <f t="shared" si="11"/>
        <v>2454.2347000387663</v>
      </c>
      <c r="L26" s="12">
        <f t="shared" si="12"/>
        <v>3.4272039532878615</v>
      </c>
      <c r="T26" s="1">
        <f t="shared" si="3"/>
        <v>15</v>
      </c>
      <c r="U26" s="1">
        <f>[2]!ACF($I$14:$I$97,T26)</f>
        <v>-6.0679079291910609E-3</v>
      </c>
      <c r="V26" s="1">
        <f t="shared" si="4"/>
        <v>-0.23621158201521048</v>
      </c>
      <c r="W26" s="1">
        <f>_xlfn.NORM.S.INV(1-$W$8/2)*SQRT((1+2*SUMSQ(U$12:U25))/COUNT($I$14:$I$97))</f>
        <v>0.23621158201521048</v>
      </c>
    </row>
    <row r="27" spans="1:23" x14ac:dyDescent="0.15">
      <c r="A27" s="9">
        <v>42948</v>
      </c>
      <c r="B27" s="8">
        <v>1303.0999999999999</v>
      </c>
      <c r="C27" s="14">
        <f t="shared" si="5"/>
        <v>1547.340947978696</v>
      </c>
      <c r="D27" s="14">
        <f t="shared" si="6"/>
        <v>-3.440277777777776</v>
      </c>
      <c r="E27" s="14">
        <f t="shared" si="7"/>
        <v>0.84007446986658163</v>
      </c>
      <c r="F27" s="14">
        <f t="shared" si="8"/>
        <v>1284.1782787594614</v>
      </c>
      <c r="G27" s="14"/>
      <c r="I27" s="12">
        <f t="shared" si="9"/>
        <v>18.921721240538545</v>
      </c>
      <c r="J27" s="12">
        <f t="shared" si="10"/>
        <v>18.921721240538545</v>
      </c>
      <c r="K27" s="12">
        <f t="shared" si="11"/>
        <v>358.03153470464753</v>
      </c>
      <c r="L27" s="12">
        <f t="shared" si="12"/>
        <v>1.4520544271766209</v>
      </c>
      <c r="T27" s="1">
        <f t="shared" si="3"/>
        <v>16</v>
      </c>
      <c r="U27" s="1">
        <f>[2]!ACF($I$14:$I$97,T27)</f>
        <v>0.12184866032344155</v>
      </c>
      <c r="V27" s="1">
        <f t="shared" si="4"/>
        <v>-0.23621871033409564</v>
      </c>
      <c r="W27" s="1">
        <f>_xlfn.NORM.S.INV(1-$W$8/2)*SQRT((1+2*SUMSQ(U$12:U26))/COUNT($I$14:$I$97))</f>
        <v>0.23621871033409564</v>
      </c>
    </row>
    <row r="28" spans="1:23" x14ac:dyDescent="0.15">
      <c r="A28" s="9">
        <v>42979</v>
      </c>
      <c r="B28" s="8">
        <v>1407.2</v>
      </c>
      <c r="C28" s="14">
        <f t="shared" si="5"/>
        <v>1567.2921204111979</v>
      </c>
      <c r="D28" s="14">
        <f t="shared" si="6"/>
        <v>-3.440277777777776</v>
      </c>
      <c r="E28" s="14">
        <f t="shared" si="7"/>
        <v>0.8936263126433529</v>
      </c>
      <c r="F28" s="14">
        <f t="shared" si="8"/>
        <v>1368.2408184414269</v>
      </c>
      <c r="G28" s="14"/>
      <c r="I28" s="12">
        <f t="shared" si="9"/>
        <v>38.959181558573164</v>
      </c>
      <c r="J28" s="12">
        <f t="shared" si="10"/>
        <v>38.959181558573164</v>
      </c>
      <c r="K28" s="12">
        <f t="shared" si="11"/>
        <v>1517.8178277138672</v>
      </c>
      <c r="L28" s="12">
        <f t="shared" si="12"/>
        <v>2.7685603722692695</v>
      </c>
      <c r="T28" s="1">
        <f t="shared" si="3"/>
        <v>17</v>
      </c>
      <c r="U28" s="1">
        <f>[2]!ACF($I$14:$I$97,T28)</f>
        <v>0.31571086791495595</v>
      </c>
      <c r="V28" s="1">
        <f t="shared" si="4"/>
        <v>-0.23907581138116987</v>
      </c>
      <c r="W28" s="1">
        <f>_xlfn.NORM.S.INV(1-$W$8/2)*SQRT((1+2*SUMSQ(U$12:U27))/COUNT($I$14:$I$97))</f>
        <v>0.23907581138116987</v>
      </c>
    </row>
    <row r="29" spans="1:23" x14ac:dyDescent="0.15">
      <c r="A29" s="9">
        <v>43009</v>
      </c>
      <c r="B29" s="8">
        <v>1518.3</v>
      </c>
      <c r="C29" s="14">
        <f t="shared" si="5"/>
        <v>1559.3547260161467</v>
      </c>
      <c r="D29" s="14">
        <f t="shared" si="6"/>
        <v>-3.440277777777776</v>
      </c>
      <c r="E29" s="14">
        <f t="shared" si="7"/>
        <v>0.97457186881236924</v>
      </c>
      <c r="F29" s="14">
        <f t="shared" si="8"/>
        <v>1526.5500977663189</v>
      </c>
      <c r="G29" s="14"/>
      <c r="I29" s="12">
        <f t="shared" si="9"/>
        <v>-8.2500977663189587</v>
      </c>
      <c r="J29" s="12">
        <f t="shared" si="10"/>
        <v>8.2500977663189587</v>
      </c>
      <c r="K29" s="12">
        <f t="shared" si="11"/>
        <v>68.064113153821069</v>
      </c>
      <c r="L29" s="12">
        <f t="shared" si="12"/>
        <v>0.54337731451748394</v>
      </c>
      <c r="T29" s="1">
        <f t="shared" si="3"/>
        <v>18</v>
      </c>
      <c r="U29" s="1">
        <f>[2]!ACF($I$14:$I$97,T29)</f>
        <v>0.19311108698551577</v>
      </c>
      <c r="V29" s="1">
        <f t="shared" si="4"/>
        <v>-0.25743678412035931</v>
      </c>
      <c r="W29" s="1">
        <f>_xlfn.NORM.S.INV(1-$W$8/2)*SQRT((1+2*SUMSQ(U$12:U28))/COUNT($I$14:$I$97))</f>
        <v>0.25743678412035931</v>
      </c>
    </row>
    <row r="30" spans="1:23" x14ac:dyDescent="0.15">
      <c r="A30" s="9">
        <v>43040</v>
      </c>
      <c r="B30" s="8">
        <v>1730.4</v>
      </c>
      <c r="C30" s="14">
        <f t="shared" si="5"/>
        <v>1573.1716765363815</v>
      </c>
      <c r="D30" s="14">
        <f t="shared" si="6"/>
        <v>-3.440277777777776</v>
      </c>
      <c r="E30" s="14">
        <f t="shared" si="7"/>
        <v>1.0961233673002797</v>
      </c>
      <c r="F30" s="14">
        <f t="shared" si="8"/>
        <v>1695.0669062280535</v>
      </c>
      <c r="G30" s="14"/>
      <c r="I30" s="12">
        <f t="shared" si="9"/>
        <v>35.333093771946551</v>
      </c>
      <c r="J30" s="12">
        <f t="shared" si="10"/>
        <v>35.333093771946551</v>
      </c>
      <c r="K30" s="12">
        <f t="shared" si="11"/>
        <v>1248.4275154971681</v>
      </c>
      <c r="L30" s="12">
        <f t="shared" si="12"/>
        <v>2.041903246182764</v>
      </c>
      <c r="T30" s="1">
        <f t="shared" si="3"/>
        <v>19</v>
      </c>
      <c r="U30" s="1">
        <f>[2]!ACF($I$14:$I$97,T30)</f>
        <v>-0.20544821287869131</v>
      </c>
      <c r="V30" s="1">
        <f t="shared" si="4"/>
        <v>-0.26397828985000732</v>
      </c>
      <c r="W30" s="1">
        <f>_xlfn.NORM.S.INV(1-$W$8/2)*SQRT((1+2*SUMSQ(U$12:U29))/COUNT($I$14:$I$97))</f>
        <v>0.26397828985000732</v>
      </c>
    </row>
    <row r="31" spans="1:23" x14ac:dyDescent="0.15">
      <c r="A31" s="9">
        <v>43070</v>
      </c>
      <c r="B31" s="8">
        <v>2822.6</v>
      </c>
      <c r="C31" s="14">
        <f t="shared" si="5"/>
        <v>1552.533840274386</v>
      </c>
      <c r="D31" s="14">
        <f t="shared" si="6"/>
        <v>-3.440277777777776</v>
      </c>
      <c r="E31" s="14">
        <f t="shared" si="7"/>
        <v>1.8245610632330949</v>
      </c>
      <c r="F31" s="14">
        <f t="shared" si="8"/>
        <v>2881.9383723505011</v>
      </c>
      <c r="G31" s="14"/>
      <c r="I31" s="12">
        <f t="shared" si="9"/>
        <v>-59.338372350501231</v>
      </c>
      <c r="J31" s="12">
        <f t="shared" si="10"/>
        <v>59.338372350501231</v>
      </c>
      <c r="K31" s="12">
        <f t="shared" si="11"/>
        <v>3521.0424332067291</v>
      </c>
      <c r="L31" s="12">
        <f t="shared" si="12"/>
        <v>2.1022593477822302</v>
      </c>
      <c r="T31" s="1">
        <f t="shared" si="3"/>
        <v>20</v>
      </c>
      <c r="U31" s="1">
        <f>[2]!ACF($I$14:$I$97,T31)</f>
        <v>-8.4266409912582482E-2</v>
      </c>
      <c r="V31" s="1">
        <f t="shared" si="4"/>
        <v>-0.27119201546655375</v>
      </c>
      <c r="W31" s="1">
        <f>_xlfn.NORM.S.INV(1-$W$8/2)*SQRT((1+2*SUMSQ(U$12:U30))/COUNT($I$14:$I$97))</f>
        <v>0.27119201546655375</v>
      </c>
    </row>
    <row r="32" spans="1:23" x14ac:dyDescent="0.15">
      <c r="A32" s="9">
        <v>43101</v>
      </c>
      <c r="B32" s="8">
        <v>1413.1</v>
      </c>
      <c r="C32" s="14">
        <f t="shared" si="5"/>
        <v>1520.5156270249022</v>
      </c>
      <c r="D32" s="14">
        <f t="shared" si="6"/>
        <v>-3.440277777777776</v>
      </c>
      <c r="E32" s="14">
        <f t="shared" si="7"/>
        <v>0.93503313021563483</v>
      </c>
      <c r="F32" s="14">
        <f t="shared" si="8"/>
        <v>1463.8528112700105</v>
      </c>
      <c r="G32" s="14"/>
      <c r="I32" s="12">
        <f t="shared" si="9"/>
        <v>-50.752811270010625</v>
      </c>
      <c r="J32" s="12">
        <f t="shared" si="10"/>
        <v>50.752811270010625</v>
      </c>
      <c r="K32" s="12">
        <f t="shared" si="11"/>
        <v>2575.8478518093175</v>
      </c>
      <c r="L32" s="12">
        <f t="shared" si="12"/>
        <v>3.5915937492046304</v>
      </c>
      <c r="T32" s="1">
        <f t="shared" si="3"/>
        <v>21</v>
      </c>
      <c r="U32" s="1">
        <f>[2]!ACF($I$14:$I$97,T32)</f>
        <v>0.11018221353544314</v>
      </c>
      <c r="V32" s="1">
        <f t="shared" si="4"/>
        <v>-0.27238681032139078</v>
      </c>
      <c r="W32" s="1">
        <f>_xlfn.NORM.S.INV(1-$W$8/2)*SQRT((1+2*SUMSQ(U$12:U31))/COUNT($I$14:$I$97))</f>
        <v>0.27238681032139078</v>
      </c>
    </row>
    <row r="33" spans="1:23" x14ac:dyDescent="0.15">
      <c r="A33" s="9">
        <v>43132</v>
      </c>
      <c r="B33" s="8">
        <v>1099.4000000000001</v>
      </c>
      <c r="C33" s="14">
        <f t="shared" si="5"/>
        <v>1517.5933067780588</v>
      </c>
      <c r="D33" s="14">
        <f t="shared" si="6"/>
        <v>-3.440277777777776</v>
      </c>
      <c r="E33" s="14">
        <f t="shared" si="7"/>
        <v>0.72435749863690557</v>
      </c>
      <c r="F33" s="14">
        <f t="shared" si="8"/>
        <v>1098.6950251097401</v>
      </c>
      <c r="G33" s="14"/>
      <c r="I33" s="12">
        <f t="shared" si="9"/>
        <v>0.70497489026001858</v>
      </c>
      <c r="J33" s="12">
        <f t="shared" si="10"/>
        <v>0.70497489026001858</v>
      </c>
      <c r="K33" s="12">
        <f t="shared" si="11"/>
        <v>0.49698959589712527</v>
      </c>
      <c r="L33" s="12">
        <f t="shared" si="12"/>
        <v>6.4123602897946025E-2</v>
      </c>
      <c r="T33" s="1">
        <f t="shared" si="3"/>
        <v>22</v>
      </c>
      <c r="U33" s="1">
        <f>[2]!ACF($I$14:$I$97,T33)</f>
        <v>-7.9096783319138664E-2</v>
      </c>
      <c r="V33" s="1">
        <f t="shared" si="4"/>
        <v>-0.2744174738511983</v>
      </c>
      <c r="W33" s="1">
        <f>_xlfn.NORM.S.INV(1-$W$8/2)*SQRT((1+2*SUMSQ(U$12:U32))/COUNT($I$14:$I$97))</f>
        <v>0.2744174738511983</v>
      </c>
    </row>
    <row r="34" spans="1:23" x14ac:dyDescent="0.15">
      <c r="A34" s="9">
        <v>43160</v>
      </c>
      <c r="B34" s="8">
        <v>1416.2</v>
      </c>
      <c r="C34" s="14">
        <f t="shared" si="5"/>
        <v>1535.7098230114193</v>
      </c>
      <c r="D34" s="14">
        <f t="shared" si="6"/>
        <v>-3.440277777777776</v>
      </c>
      <c r="E34" s="14">
        <f t="shared" si="7"/>
        <v>0.91809201784403527</v>
      </c>
      <c r="F34" s="14">
        <f t="shared" si="8"/>
        <v>1379.2953439137568</v>
      </c>
      <c r="G34" s="14"/>
      <c r="I34" s="12">
        <f t="shared" si="9"/>
        <v>36.904656086243222</v>
      </c>
      <c r="J34" s="12">
        <f t="shared" si="10"/>
        <v>36.904656086243222</v>
      </c>
      <c r="K34" s="12">
        <f t="shared" si="11"/>
        <v>1361.9536408438889</v>
      </c>
      <c r="L34" s="12">
        <f t="shared" si="12"/>
        <v>2.6058929590625066</v>
      </c>
      <c r="T34" s="1">
        <f t="shared" si="3"/>
        <v>23</v>
      </c>
      <c r="U34" s="1">
        <f>[2]!ACF($I$14:$I$97,T34)</f>
        <v>-8.7313031390815837E-2</v>
      </c>
      <c r="V34" s="1">
        <f t="shared" si="4"/>
        <v>-0.2754581128502524</v>
      </c>
      <c r="W34" s="1">
        <f>_xlfn.NORM.S.INV(1-$W$8/2)*SQRT((1+2*SUMSQ(U$12:U33))/COUNT($I$14:$I$97))</f>
        <v>0.2754581128502524</v>
      </c>
    </row>
    <row r="35" spans="1:23" x14ac:dyDescent="0.15">
      <c r="A35" s="9">
        <v>43191</v>
      </c>
      <c r="B35" s="8">
        <v>1402.7</v>
      </c>
      <c r="C35" s="14">
        <f t="shared" si="5"/>
        <v>1510.8167335706485</v>
      </c>
      <c r="D35" s="14">
        <f t="shared" si="6"/>
        <v>-3.440277777777776</v>
      </c>
      <c r="E35" s="14">
        <f t="shared" si="7"/>
        <v>0.93270566300808389</v>
      </c>
      <c r="F35" s="14">
        <f t="shared" si="8"/>
        <v>1440.6056236416173</v>
      </c>
      <c r="G35" s="14"/>
      <c r="I35" s="12">
        <f t="shared" si="9"/>
        <v>-37.90562364161724</v>
      </c>
      <c r="J35" s="12">
        <f t="shared" si="10"/>
        <v>37.90562364161724</v>
      </c>
      <c r="K35" s="12">
        <f t="shared" si="11"/>
        <v>1436.8363036599319</v>
      </c>
      <c r="L35" s="12">
        <f t="shared" si="12"/>
        <v>2.7023329038010435</v>
      </c>
      <c r="T35" s="27">
        <f t="shared" si="3"/>
        <v>24</v>
      </c>
      <c r="U35" s="27">
        <f>[2]!ACF($I$14:$I$97,T35)</f>
        <v>2.6330025378965623E-2</v>
      </c>
      <c r="V35" s="27">
        <f t="shared" si="4"/>
        <v>-0.27672088542241274</v>
      </c>
      <c r="W35" s="27">
        <f>_xlfn.NORM.S.INV(1-$W$8/2)*SQRT((1+2*SUMSQ(U$12:U34))/COUNT($I$14:$I$97))</f>
        <v>0.27672088542241274</v>
      </c>
    </row>
    <row r="36" spans="1:23" x14ac:dyDescent="0.15">
      <c r="A36" s="9">
        <v>43221</v>
      </c>
      <c r="B36" s="8">
        <v>1518</v>
      </c>
      <c r="C36" s="14">
        <f t="shared" si="5"/>
        <v>1591.265558544847</v>
      </c>
      <c r="D36" s="14">
        <f t="shared" si="6"/>
        <v>-3.440277777777776</v>
      </c>
      <c r="E36" s="14">
        <f t="shared" si="7"/>
        <v>0.9385939446603706</v>
      </c>
      <c r="F36" s="14">
        <f t="shared" si="8"/>
        <v>1374.2646210842697</v>
      </c>
      <c r="G36" s="14"/>
      <c r="I36" s="12">
        <f t="shared" si="9"/>
        <v>143.73537891573028</v>
      </c>
      <c r="J36" s="12">
        <f t="shared" si="10"/>
        <v>143.73537891573028</v>
      </c>
      <c r="K36" s="12">
        <f t="shared" si="11"/>
        <v>20659.859152048561</v>
      </c>
      <c r="L36" s="12">
        <f t="shared" si="12"/>
        <v>9.4687337889150385</v>
      </c>
    </row>
    <row r="37" spans="1:23" x14ac:dyDescent="0.15">
      <c r="A37" s="9">
        <v>43252</v>
      </c>
      <c r="B37" s="8">
        <v>1587.2</v>
      </c>
      <c r="C37" s="14">
        <f t="shared" si="5"/>
        <v>1591.0742459291316</v>
      </c>
      <c r="D37" s="14">
        <f t="shared" si="6"/>
        <v>-3.440277777777776</v>
      </c>
      <c r="E37" s="14">
        <f t="shared" si="7"/>
        <v>0.99691502953625633</v>
      </c>
      <c r="F37" s="14">
        <f t="shared" si="8"/>
        <v>1581.1198175077661</v>
      </c>
      <c r="G37" s="14"/>
      <c r="I37" s="12">
        <f t="shared" si="9"/>
        <v>6.0801824922339165</v>
      </c>
      <c r="J37" s="12">
        <f t="shared" si="10"/>
        <v>6.0801824922339165</v>
      </c>
      <c r="K37" s="12">
        <f t="shared" si="11"/>
        <v>36.968619138867837</v>
      </c>
      <c r="L37" s="12">
        <f t="shared" si="12"/>
        <v>0.38307601387562479</v>
      </c>
    </row>
    <row r="38" spans="1:23" x14ac:dyDescent="0.15">
      <c r="A38" s="9">
        <v>43282</v>
      </c>
      <c r="B38" s="8">
        <v>1426.7</v>
      </c>
      <c r="C38" s="14">
        <f t="shared" si="5"/>
        <v>1546.2877518715704</v>
      </c>
      <c r="D38" s="14">
        <f t="shared" si="6"/>
        <v>-3.440277777777776</v>
      </c>
      <c r="E38" s="14">
        <f t="shared" si="7"/>
        <v>0.93073757888903019</v>
      </c>
      <c r="F38" s="14">
        <f t="shared" si="8"/>
        <v>1500.1211556166213</v>
      </c>
      <c r="G38" s="14"/>
      <c r="I38" s="12">
        <f t="shared" si="9"/>
        <v>-73.421155616621263</v>
      </c>
      <c r="J38" s="12">
        <f t="shared" si="10"/>
        <v>73.421155616621263</v>
      </c>
      <c r="K38" s="12">
        <f t="shared" si="11"/>
        <v>5390.666092080116</v>
      </c>
      <c r="L38" s="12">
        <f t="shared" si="12"/>
        <v>5.1462224445658702</v>
      </c>
    </row>
    <row r="39" spans="1:23" x14ac:dyDescent="0.15">
      <c r="A39" s="9">
        <v>43313</v>
      </c>
      <c r="B39" s="8">
        <v>1343.6</v>
      </c>
      <c r="C39" s="14">
        <f t="shared" si="5"/>
        <v>1572.9293139218535</v>
      </c>
      <c r="D39" s="14">
        <f t="shared" si="6"/>
        <v>-3.440277777777776</v>
      </c>
      <c r="E39" s="14">
        <f t="shared" si="7"/>
        <v>0.84906671960725055</v>
      </c>
      <c r="F39" s="14">
        <f t="shared" si="8"/>
        <v>1296.1067738843374</v>
      </c>
      <c r="G39" s="14"/>
      <c r="I39" s="12">
        <f t="shared" si="9"/>
        <v>47.493226115662537</v>
      </c>
      <c r="J39" s="12">
        <f t="shared" si="10"/>
        <v>47.493226115662537</v>
      </c>
      <c r="K39" s="12">
        <f t="shared" si="11"/>
        <v>2255.6065268734501</v>
      </c>
      <c r="L39" s="12">
        <f t="shared" si="12"/>
        <v>3.5347741973550568</v>
      </c>
    </row>
    <row r="40" spans="1:23" x14ac:dyDescent="0.15">
      <c r="A40" s="9">
        <v>43344</v>
      </c>
      <c r="B40" s="8">
        <v>1398.8</v>
      </c>
      <c r="C40" s="14">
        <f t="shared" si="5"/>
        <v>1567.2640730797807</v>
      </c>
      <c r="D40" s="14">
        <f t="shared" si="6"/>
        <v>-3.440277777777776</v>
      </c>
      <c r="E40" s="14">
        <f t="shared" si="7"/>
        <v>0.89291625769103189</v>
      </c>
      <c r="F40" s="14">
        <f t="shared" si="8"/>
        <v>1402.5367001036004</v>
      </c>
      <c r="G40" s="14"/>
      <c r="I40" s="12">
        <f t="shared" si="9"/>
        <v>-3.7367001036004694</v>
      </c>
      <c r="J40" s="12">
        <f t="shared" si="10"/>
        <v>3.7367001036004694</v>
      </c>
      <c r="K40" s="12">
        <f t="shared" si="11"/>
        <v>13.96292766424776</v>
      </c>
      <c r="L40" s="12">
        <f t="shared" si="12"/>
        <v>0.26713612407781456</v>
      </c>
    </row>
    <row r="41" spans="1:23" x14ac:dyDescent="0.15">
      <c r="A41" s="9">
        <v>43374</v>
      </c>
      <c r="B41" s="8">
        <v>1524.8</v>
      </c>
      <c r="C41" s="14">
        <f t="shared" si="5"/>
        <v>1564.2285418267484</v>
      </c>
      <c r="D41" s="14">
        <f t="shared" si="6"/>
        <v>-3.440277777777776</v>
      </c>
      <c r="E41" s="14">
        <f t="shared" si="7"/>
        <v>0.97471300948372286</v>
      </c>
      <c r="F41" s="14">
        <f t="shared" si="8"/>
        <v>1524.0586786807251</v>
      </c>
      <c r="G41" s="14"/>
      <c r="I41" s="12">
        <f t="shared" si="9"/>
        <v>0.74132131927490263</v>
      </c>
      <c r="J41" s="12">
        <f t="shared" si="10"/>
        <v>0.74132131927490263</v>
      </c>
      <c r="K41" s="12">
        <f t="shared" si="11"/>
        <v>0.54955729841148215</v>
      </c>
      <c r="L41" s="12">
        <f t="shared" si="12"/>
        <v>4.8617610130830449E-2</v>
      </c>
    </row>
    <row r="42" spans="1:23" x14ac:dyDescent="0.15">
      <c r="A42" s="9">
        <v>43405</v>
      </c>
      <c r="B42" s="8">
        <v>1745.1</v>
      </c>
      <c r="C42" s="14">
        <f t="shared" si="5"/>
        <v>1577.4306804037826</v>
      </c>
      <c r="D42" s="14">
        <f t="shared" si="6"/>
        <v>-3.440277777777776</v>
      </c>
      <c r="E42" s="14">
        <f t="shared" si="7"/>
        <v>1.1025959993716434</v>
      </c>
      <c r="F42" s="14">
        <f t="shared" si="8"/>
        <v>1710.8164876321157</v>
      </c>
      <c r="G42" s="14"/>
      <c r="I42" s="12">
        <f t="shared" si="9"/>
        <v>34.283512367884214</v>
      </c>
      <c r="J42" s="12">
        <f t="shared" si="10"/>
        <v>34.283512367884214</v>
      </c>
      <c r="K42" s="12">
        <f t="shared" si="11"/>
        <v>1175.3592202788698</v>
      </c>
      <c r="L42" s="12">
        <f t="shared" si="12"/>
        <v>1.9645586137117768</v>
      </c>
    </row>
    <row r="43" spans="1:23" x14ac:dyDescent="0.15">
      <c r="A43" s="9">
        <v>43435</v>
      </c>
      <c r="B43" s="8">
        <v>2813.5</v>
      </c>
      <c r="C43" s="14">
        <f t="shared" si="5"/>
        <v>1556.9762446327939</v>
      </c>
      <c r="D43" s="14">
        <f t="shared" si="6"/>
        <v>-3.440277777777776</v>
      </c>
      <c r="E43" s="14">
        <f t="shared" si="7"/>
        <v>1.813401626799128</v>
      </c>
      <c r="F43" s="14">
        <f t="shared" si="8"/>
        <v>2871.8416025339907</v>
      </c>
      <c r="G43" s="14"/>
      <c r="I43" s="12">
        <f t="shared" si="9"/>
        <v>-58.341602533990681</v>
      </c>
      <c r="J43" s="12">
        <f t="shared" si="10"/>
        <v>58.341602533990681</v>
      </c>
      <c r="K43" s="12">
        <f t="shared" si="11"/>
        <v>3403.7425862341479</v>
      </c>
      <c r="L43" s="12">
        <f t="shared" si="12"/>
        <v>2.0736307991466387</v>
      </c>
    </row>
    <row r="44" spans="1:23" x14ac:dyDescent="0.15">
      <c r="A44" s="9">
        <v>43466</v>
      </c>
      <c r="B44" s="8">
        <v>1409.6</v>
      </c>
      <c r="C44" s="14">
        <f t="shared" si="5"/>
        <v>1529.0617559523794</v>
      </c>
      <c r="D44" s="14">
        <f t="shared" si="6"/>
        <v>-3.440277777777776</v>
      </c>
      <c r="E44" s="14">
        <f t="shared" si="7"/>
        <v>0.92665656341201275</v>
      </c>
      <c r="F44" s="14">
        <f t="shared" si="8"/>
        <v>1452.6075979910183</v>
      </c>
      <c r="G44" s="14"/>
      <c r="I44" s="12">
        <f t="shared" si="9"/>
        <v>-43.007597991018429</v>
      </c>
      <c r="J44" s="12">
        <f t="shared" si="10"/>
        <v>43.007597991018429</v>
      </c>
      <c r="K44" s="12">
        <f t="shared" si="11"/>
        <v>1849.6534849570523</v>
      </c>
      <c r="L44" s="12">
        <f t="shared" si="12"/>
        <v>3.0510498007249169</v>
      </c>
    </row>
    <row r="45" spans="1:23" x14ac:dyDescent="0.15">
      <c r="A45" s="9">
        <v>43497</v>
      </c>
      <c r="B45" s="8">
        <v>1115.2</v>
      </c>
      <c r="C45" s="14">
        <f t="shared" si="5"/>
        <v>1533.0441197445757</v>
      </c>
      <c r="D45" s="14">
        <f t="shared" si="6"/>
        <v>-3.440277777777776</v>
      </c>
      <c r="E45" s="14">
        <f t="shared" si="7"/>
        <v>0.72632046194308697</v>
      </c>
      <c r="F45" s="14">
        <f t="shared" si="8"/>
        <v>1105.0953577972928</v>
      </c>
      <c r="G45" s="14"/>
      <c r="I45" s="12">
        <f t="shared" si="9"/>
        <v>10.104642202707282</v>
      </c>
      <c r="J45" s="12">
        <f t="shared" si="10"/>
        <v>10.104642202707282</v>
      </c>
      <c r="K45" s="12">
        <f t="shared" si="11"/>
        <v>102.10379404473308</v>
      </c>
      <c r="L45" s="12">
        <f t="shared" si="12"/>
        <v>0.90608341129010772</v>
      </c>
    </row>
    <row r="46" spans="1:23" x14ac:dyDescent="0.15">
      <c r="A46" s="9">
        <v>43525</v>
      </c>
      <c r="B46" s="8">
        <v>1355.7</v>
      </c>
      <c r="C46" s="14">
        <f t="shared" si="5"/>
        <v>1501.4269459422528</v>
      </c>
      <c r="D46" s="14">
        <f t="shared" si="6"/>
        <v>-3.440277777777776</v>
      </c>
      <c r="E46" s="14">
        <f t="shared" si="7"/>
        <v>0.90844860987334575</v>
      </c>
      <c r="F46" s="14">
        <f t="shared" si="8"/>
        <v>1404.3170777732864</v>
      </c>
      <c r="G46" s="14"/>
      <c r="I46" s="12">
        <f t="shared" si="9"/>
        <v>-48.617077773286383</v>
      </c>
      <c r="J46" s="12">
        <f t="shared" si="10"/>
        <v>48.617077773286383</v>
      </c>
      <c r="K46" s="12">
        <f t="shared" si="11"/>
        <v>2363.620251213777</v>
      </c>
      <c r="L46" s="12">
        <f t="shared" si="12"/>
        <v>3.5861236094479887</v>
      </c>
    </row>
    <row r="47" spans="1:23" x14ac:dyDescent="0.15">
      <c r="A47" s="9">
        <v>43556</v>
      </c>
      <c r="B47" s="8">
        <v>1474.6</v>
      </c>
      <c r="C47" s="14">
        <f t="shared" si="5"/>
        <v>1542.153416361346</v>
      </c>
      <c r="D47" s="14">
        <f t="shared" si="6"/>
        <v>-3.440277777777776</v>
      </c>
      <c r="E47" s="14">
        <f t="shared" si="7"/>
        <v>0.94765658046369794</v>
      </c>
      <c r="F47" s="14">
        <f t="shared" si="8"/>
        <v>1397.1806485076172</v>
      </c>
      <c r="G47" s="14"/>
      <c r="I47" s="12">
        <f t="shared" si="9"/>
        <v>77.419351492382702</v>
      </c>
      <c r="J47" s="12">
        <f t="shared" si="10"/>
        <v>77.419351492382702</v>
      </c>
      <c r="K47" s="12">
        <f t="shared" si="11"/>
        <v>5993.7559855010995</v>
      </c>
      <c r="L47" s="12">
        <f t="shared" si="12"/>
        <v>5.2501933739578668</v>
      </c>
    </row>
    <row r="48" spans="1:23" x14ac:dyDescent="0.15">
      <c r="A48" s="9">
        <v>43586</v>
      </c>
      <c r="B48" s="8">
        <v>1512</v>
      </c>
      <c r="C48" s="14">
        <f t="shared" si="5"/>
        <v>1577.1343039014237</v>
      </c>
      <c r="D48" s="14">
        <f t="shared" si="6"/>
        <v>-3.440277777777776</v>
      </c>
      <c r="E48" s="14">
        <f t="shared" si="7"/>
        <v>0.95139173491168549</v>
      </c>
      <c r="F48" s="14">
        <f t="shared" si="8"/>
        <v>1444.2268344438908</v>
      </c>
      <c r="G48" s="14"/>
      <c r="I48" s="12">
        <f t="shared" si="9"/>
        <v>67.773165556109234</v>
      </c>
      <c r="J48" s="12">
        <f t="shared" si="10"/>
        <v>67.773165556109234</v>
      </c>
      <c r="K48" s="12">
        <f t="shared" si="11"/>
        <v>4593.2019694957908</v>
      </c>
      <c r="L48" s="12">
        <f t="shared" si="12"/>
        <v>4.4823522193193934</v>
      </c>
    </row>
    <row r="49" spans="1:12" x14ac:dyDescent="0.15">
      <c r="A49" s="9">
        <v>43617</v>
      </c>
      <c r="B49" s="8">
        <v>1570.2</v>
      </c>
      <c r="C49" s="14">
        <f t="shared" si="5"/>
        <v>1574.4203297265708</v>
      </c>
      <c r="D49" s="14">
        <f t="shared" si="6"/>
        <v>-3.440277777777776</v>
      </c>
      <c r="E49" s="14">
        <f t="shared" si="7"/>
        <v>0.99717243101541464</v>
      </c>
      <c r="F49" s="14">
        <f t="shared" si="8"/>
        <v>1568.8392265340847</v>
      </c>
      <c r="G49" s="14"/>
      <c r="I49" s="12">
        <f t="shared" si="9"/>
        <v>1.3607734659153721</v>
      </c>
      <c r="J49" s="12">
        <f t="shared" si="10"/>
        <v>1.3607734659153721</v>
      </c>
      <c r="K49" s="12">
        <f t="shared" si="11"/>
        <v>1.8517044255393342</v>
      </c>
      <c r="L49" s="12">
        <f t="shared" si="12"/>
        <v>8.6662429366664878E-2</v>
      </c>
    </row>
    <row r="50" spans="1:12" x14ac:dyDescent="0.15">
      <c r="A50" s="9">
        <v>43647</v>
      </c>
      <c r="B50" s="8">
        <v>1439.2</v>
      </c>
      <c r="C50" s="14">
        <f t="shared" si="5"/>
        <v>1557.8481548571908</v>
      </c>
      <c r="D50" s="14">
        <f t="shared" si="6"/>
        <v>-3.440277777777776</v>
      </c>
      <c r="E50" s="14">
        <f t="shared" si="7"/>
        <v>0.92634636106370349</v>
      </c>
      <c r="F50" s="14">
        <f t="shared" si="8"/>
        <v>1462.1701700337826</v>
      </c>
      <c r="G50" s="14"/>
      <c r="I50" s="12">
        <f t="shared" si="9"/>
        <v>-22.970170033782551</v>
      </c>
      <c r="J50" s="12">
        <f t="shared" si="10"/>
        <v>22.970170033782551</v>
      </c>
      <c r="K50" s="12">
        <f t="shared" si="11"/>
        <v>527.6287113808819</v>
      </c>
      <c r="L50" s="12">
        <f t="shared" si="12"/>
        <v>1.5960373842261362</v>
      </c>
    </row>
    <row r="51" spans="1:12" x14ac:dyDescent="0.15">
      <c r="A51" s="9">
        <v>43678</v>
      </c>
      <c r="B51" s="8">
        <v>1381.4</v>
      </c>
      <c r="C51" s="14">
        <f t="shared" si="5"/>
        <v>1593.0141275362494</v>
      </c>
      <c r="D51" s="14">
        <f t="shared" si="6"/>
        <v>-3.440277777777776</v>
      </c>
      <c r="E51" s="14">
        <f t="shared" si="7"/>
        <v>0.86058360911017218</v>
      </c>
      <c r="F51" s="14">
        <f t="shared" si="8"/>
        <v>1319.7959971234877</v>
      </c>
      <c r="G51" s="14"/>
      <c r="I51" s="12">
        <f t="shared" si="9"/>
        <v>61.604002876512368</v>
      </c>
      <c r="J51" s="12">
        <f t="shared" si="10"/>
        <v>61.604002876512368</v>
      </c>
      <c r="K51" s="12">
        <f t="shared" si="11"/>
        <v>3795.0531704093441</v>
      </c>
      <c r="L51" s="12">
        <f t="shared" si="12"/>
        <v>4.4595340145151559</v>
      </c>
    </row>
    <row r="52" spans="1:12" x14ac:dyDescent="0.15">
      <c r="A52" s="9">
        <v>43709</v>
      </c>
      <c r="B52" s="8">
        <v>1384.2</v>
      </c>
      <c r="C52" s="14">
        <f t="shared" si="5"/>
        <v>1568.6238823397725</v>
      </c>
      <c r="D52" s="14">
        <f t="shared" si="6"/>
        <v>-3.440277777777776</v>
      </c>
      <c r="E52" s="14">
        <f t="shared" si="7"/>
        <v>0.88624157469128417</v>
      </c>
      <c r="F52" s="14">
        <f t="shared" si="8"/>
        <v>1419.3563332498611</v>
      </c>
      <c r="G52" s="14"/>
      <c r="I52" s="12">
        <f t="shared" si="9"/>
        <v>-35.156333249861063</v>
      </c>
      <c r="J52" s="12">
        <f t="shared" si="10"/>
        <v>35.156333249861063</v>
      </c>
      <c r="K52" s="12">
        <f t="shared" si="11"/>
        <v>1235.9677675752866</v>
      </c>
      <c r="L52" s="12">
        <f t="shared" si="12"/>
        <v>2.5398304616284539</v>
      </c>
    </row>
    <row r="53" spans="1:12" x14ac:dyDescent="0.15">
      <c r="A53" s="9">
        <v>43739</v>
      </c>
      <c r="B53" s="8">
        <v>1544.5</v>
      </c>
      <c r="C53" s="14">
        <f t="shared" si="5"/>
        <v>1575.4984979575438</v>
      </c>
      <c r="D53" s="14">
        <f t="shared" si="6"/>
        <v>-3.440277777777776</v>
      </c>
      <c r="E53" s="14">
        <f t="shared" si="7"/>
        <v>0.9782847417591144</v>
      </c>
      <c r="F53" s="14">
        <f t="shared" si="8"/>
        <v>1525.6048215972032</v>
      </c>
      <c r="G53" s="14"/>
      <c r="I53" s="12">
        <f t="shared" si="9"/>
        <v>18.895178402796773</v>
      </c>
      <c r="J53" s="12">
        <f t="shared" si="10"/>
        <v>18.895178402796773</v>
      </c>
      <c r="K53" s="12">
        <f t="shared" si="11"/>
        <v>357.02776687351763</v>
      </c>
      <c r="L53" s="12">
        <f t="shared" si="12"/>
        <v>1.2233848107994025</v>
      </c>
    </row>
    <row r="54" spans="1:12" x14ac:dyDescent="0.15">
      <c r="A54" s="9">
        <v>43770</v>
      </c>
      <c r="B54" s="8">
        <v>1826.3</v>
      </c>
      <c r="C54" s="14">
        <f t="shared" si="5"/>
        <v>1616.9168872769533</v>
      </c>
      <c r="D54" s="14">
        <f t="shared" si="6"/>
        <v>-3.440277777777776</v>
      </c>
      <c r="E54" s="14">
        <f t="shared" si="7"/>
        <v>1.1197170521374225</v>
      </c>
      <c r="F54" s="14">
        <f t="shared" si="8"/>
        <v>1733.3451043495163</v>
      </c>
      <c r="G54" s="14"/>
      <c r="I54" s="12">
        <f t="shared" si="9"/>
        <v>92.95489565048365</v>
      </c>
      <c r="J54" s="12">
        <f t="shared" si="10"/>
        <v>92.95489565048365</v>
      </c>
      <c r="K54" s="12">
        <f t="shared" si="11"/>
        <v>8640.6126253923048</v>
      </c>
      <c r="L54" s="12">
        <f t="shared" si="12"/>
        <v>5.0897933335423344</v>
      </c>
    </row>
    <row r="55" spans="1:12" x14ac:dyDescent="0.15">
      <c r="A55" s="9">
        <v>43800</v>
      </c>
      <c r="B55" s="8">
        <v>2819.9</v>
      </c>
      <c r="C55" s="14">
        <f t="shared" si="5"/>
        <v>1582.3791460307393</v>
      </c>
      <c r="D55" s="14">
        <f t="shared" si="6"/>
        <v>-3.440277777777776</v>
      </c>
      <c r="E55" s="14">
        <f t="shared" si="7"/>
        <v>1.7934552599740958</v>
      </c>
      <c r="F55" s="14">
        <f t="shared" si="8"/>
        <v>2925.8811084681461</v>
      </c>
      <c r="G55" s="14"/>
      <c r="I55" s="12">
        <f t="shared" si="9"/>
        <v>-105.98110846814598</v>
      </c>
      <c r="J55" s="12">
        <f t="shared" si="10"/>
        <v>105.98110846814598</v>
      </c>
      <c r="K55" s="12">
        <f t="shared" si="11"/>
        <v>11231.995352136923</v>
      </c>
      <c r="L55" s="12">
        <f t="shared" si="12"/>
        <v>3.7583286098140349</v>
      </c>
    </row>
    <row r="56" spans="1:12" x14ac:dyDescent="0.15">
      <c r="A56" s="9">
        <v>43831</v>
      </c>
      <c r="B56" s="8">
        <v>1417.3</v>
      </c>
      <c r="C56" s="14">
        <f t="shared" si="5"/>
        <v>1552.6204318113946</v>
      </c>
      <c r="D56" s="14">
        <f t="shared" si="6"/>
        <v>-3.440277777777776</v>
      </c>
      <c r="E56" s="14">
        <f t="shared" si="7"/>
        <v>0.91786494198255153</v>
      </c>
      <c r="F56" s="14">
        <f t="shared" si="8"/>
        <v>1463.1340654929422</v>
      </c>
      <c r="G56" s="14"/>
      <c r="I56" s="12">
        <f t="shared" si="9"/>
        <v>-45.834065492942273</v>
      </c>
      <c r="J56" s="12">
        <f t="shared" si="10"/>
        <v>45.834065492942273</v>
      </c>
      <c r="K56" s="12">
        <f t="shared" si="11"/>
        <v>2100.7615596113214</v>
      </c>
      <c r="L56" s="12">
        <f t="shared" si="12"/>
        <v>3.2339000559473843</v>
      </c>
    </row>
    <row r="57" spans="1:12" x14ac:dyDescent="0.15">
      <c r="A57" s="9">
        <v>43862</v>
      </c>
      <c r="B57" s="8">
        <v>1180.2</v>
      </c>
      <c r="C57" s="14">
        <f t="shared" si="5"/>
        <v>1589.471807317979</v>
      </c>
      <c r="D57" s="14">
        <f t="shared" si="6"/>
        <v>-3.440277777777776</v>
      </c>
      <c r="E57" s="14">
        <f t="shared" si="7"/>
        <v>0.73662541276217675</v>
      </c>
      <c r="F57" s="14">
        <f t="shared" si="8"/>
        <v>1125.2012451107591</v>
      </c>
      <c r="G57" s="14"/>
      <c r="I57" s="12">
        <f t="shared" si="9"/>
        <v>54.9987548892409</v>
      </c>
      <c r="J57" s="12">
        <f t="shared" si="10"/>
        <v>54.9987548892409</v>
      </c>
      <c r="K57" s="12">
        <f t="shared" si="11"/>
        <v>3024.8630393668</v>
      </c>
      <c r="L57" s="12">
        <f t="shared" si="12"/>
        <v>4.6601215801763169</v>
      </c>
    </row>
    <row r="58" spans="1:12" x14ac:dyDescent="0.15">
      <c r="A58" s="9">
        <v>43891</v>
      </c>
      <c r="B58" s="8">
        <v>1241.4000000000001</v>
      </c>
      <c r="C58" s="14">
        <f t="shared" si="5"/>
        <v>1469.2224558412204</v>
      </c>
      <c r="D58" s="14">
        <f t="shared" si="6"/>
        <v>-3.440277777777776</v>
      </c>
      <c r="E58" s="14">
        <f t="shared" si="7"/>
        <v>0.86802409913714018</v>
      </c>
      <c r="F58" s="14">
        <f t="shared" si="8"/>
        <v>1440.8281382260921</v>
      </c>
      <c r="G58" s="14"/>
      <c r="I58" s="12">
        <f t="shared" si="9"/>
        <v>-199.42813822609196</v>
      </c>
      <c r="J58" s="12">
        <f t="shared" si="10"/>
        <v>199.42813822609196</v>
      </c>
      <c r="K58" s="12">
        <f t="shared" si="11"/>
        <v>39771.582316325243</v>
      </c>
      <c r="L58" s="12">
        <f t="shared" si="12"/>
        <v>16.064776721934262</v>
      </c>
    </row>
    <row r="59" spans="1:12" x14ac:dyDescent="0.15">
      <c r="A59" s="9">
        <v>43922</v>
      </c>
      <c r="B59" s="8">
        <v>1177</v>
      </c>
      <c r="C59" s="14">
        <f t="shared" si="5"/>
        <v>1346.7143456817244</v>
      </c>
      <c r="D59" s="14">
        <f t="shared" si="6"/>
        <v>-3.440277777777776</v>
      </c>
      <c r="E59" s="14">
        <f t="shared" si="7"/>
        <v>0.90076171126497417</v>
      </c>
      <c r="F59" s="14">
        <f t="shared" si="8"/>
        <v>1389.0581265682333</v>
      </c>
      <c r="G59" s="14"/>
      <c r="I59" s="12">
        <f t="shared" si="9"/>
        <v>-212.05812656823332</v>
      </c>
      <c r="J59" s="12">
        <f t="shared" si="10"/>
        <v>212.05812656823332</v>
      </c>
      <c r="K59" s="12">
        <f t="shared" si="11"/>
        <v>44968.649043628859</v>
      </c>
      <c r="L59" s="12">
        <f t="shared" si="12"/>
        <v>18.016833183367318</v>
      </c>
    </row>
    <row r="60" spans="1:12" x14ac:dyDescent="0.15">
      <c r="A60" s="9">
        <v>43952</v>
      </c>
      <c r="B60" s="8">
        <v>1697.2</v>
      </c>
      <c r="C60" s="14">
        <f t="shared" si="5"/>
        <v>1577.7365125011147</v>
      </c>
      <c r="D60" s="14">
        <f t="shared" si="6"/>
        <v>-3.440277777777776</v>
      </c>
      <c r="E60" s="14">
        <f t="shared" si="7"/>
        <v>1.0305239954039354</v>
      </c>
      <c r="F60" s="14">
        <f t="shared" si="8"/>
        <v>1277.979845925013</v>
      </c>
      <c r="G60" s="14"/>
      <c r="I60" s="12">
        <f t="shared" si="9"/>
        <v>419.22015407498702</v>
      </c>
      <c r="J60" s="12">
        <f t="shared" si="10"/>
        <v>419.22015407498702</v>
      </c>
      <c r="K60" s="12">
        <f t="shared" si="11"/>
        <v>175745.53758265584</v>
      </c>
      <c r="L60" s="12">
        <f t="shared" si="12"/>
        <v>24.700692556857589</v>
      </c>
    </row>
    <row r="61" spans="1:12" x14ac:dyDescent="0.15">
      <c r="A61" s="9">
        <v>43983</v>
      </c>
      <c r="B61" s="8">
        <v>1557.7</v>
      </c>
      <c r="C61" s="14">
        <f t="shared" si="5"/>
        <v>1567.8157015239744</v>
      </c>
      <c r="D61" s="14">
        <f t="shared" si="6"/>
        <v>-3.440277777777776</v>
      </c>
      <c r="E61" s="14">
        <f t="shared" si="7"/>
        <v>0.99486546403541376</v>
      </c>
      <c r="F61" s="14">
        <f t="shared" si="8"/>
        <v>1569.8448035174838</v>
      </c>
      <c r="G61" s="14"/>
      <c r="I61" s="12">
        <f t="shared" si="9"/>
        <v>-12.144803517483751</v>
      </c>
      <c r="J61" s="12">
        <f t="shared" si="10"/>
        <v>12.144803517483751</v>
      </c>
      <c r="K61" s="12">
        <f t="shared" si="11"/>
        <v>147.4962524782857</v>
      </c>
      <c r="L61" s="12">
        <f t="shared" si="12"/>
        <v>0.77966254846785332</v>
      </c>
    </row>
    <row r="62" spans="1:12" x14ac:dyDescent="0.15">
      <c r="A62" s="9">
        <v>44013</v>
      </c>
      <c r="B62" s="8">
        <v>1528</v>
      </c>
      <c r="C62" s="14">
        <f t="shared" si="5"/>
        <v>1609.6651435320264</v>
      </c>
      <c r="D62" s="14">
        <f t="shared" si="6"/>
        <v>-3.440277777777776</v>
      </c>
      <c r="E62" s="14">
        <f t="shared" si="7"/>
        <v>0.94093426446813433</v>
      </c>
      <c r="F62" s="14">
        <f t="shared" si="8"/>
        <v>1449.1534811247784</v>
      </c>
      <c r="G62" s="14"/>
      <c r="I62" s="12">
        <f t="shared" si="9"/>
        <v>78.846518875221591</v>
      </c>
      <c r="J62" s="12">
        <f t="shared" si="10"/>
        <v>78.846518875221591</v>
      </c>
      <c r="K62" s="12">
        <f t="shared" si="11"/>
        <v>6216.7735387406747</v>
      </c>
      <c r="L62" s="12">
        <f t="shared" si="12"/>
        <v>5.1601124918338739</v>
      </c>
    </row>
    <row r="63" spans="1:12" x14ac:dyDescent="0.15">
      <c r="A63" s="9">
        <v>44044</v>
      </c>
      <c r="B63" s="8">
        <v>1236.8</v>
      </c>
      <c r="C63" s="14">
        <f t="shared" si="5"/>
        <v>1516.2682833157867</v>
      </c>
      <c r="D63" s="14">
        <f t="shared" si="6"/>
        <v>-3.440277777777776</v>
      </c>
      <c r="E63" s="14">
        <f t="shared" si="7"/>
        <v>0.83200735149854654</v>
      </c>
      <c r="F63" s="14">
        <f t="shared" si="8"/>
        <v>1382.2907920132932</v>
      </c>
      <c r="G63" s="14"/>
      <c r="I63" s="12">
        <f t="shared" si="9"/>
        <v>-145.49079201329323</v>
      </c>
      <c r="J63" s="12">
        <f t="shared" si="10"/>
        <v>145.49079201329323</v>
      </c>
      <c r="K63" s="12">
        <f t="shared" si="11"/>
        <v>21167.570560655349</v>
      </c>
      <c r="L63" s="12">
        <f t="shared" si="12"/>
        <v>11.763485770803142</v>
      </c>
    </row>
    <row r="64" spans="1:12" x14ac:dyDescent="0.15">
      <c r="A64" s="9">
        <v>44075</v>
      </c>
      <c r="B64" s="8">
        <v>1360.2</v>
      </c>
      <c r="C64" s="14">
        <f t="shared" si="5"/>
        <v>1524.5170870657107</v>
      </c>
      <c r="D64" s="14">
        <f t="shared" si="6"/>
        <v>-3.440277777777776</v>
      </c>
      <c r="E64" s="14">
        <f t="shared" si="7"/>
        <v>0.8900448310143575</v>
      </c>
      <c r="F64" s="14">
        <f t="shared" si="8"/>
        <v>1340.7310738650799</v>
      </c>
      <c r="G64" s="14"/>
      <c r="I64" s="12">
        <f t="shared" si="9"/>
        <v>19.468926134920139</v>
      </c>
      <c r="J64" s="12">
        <f t="shared" si="10"/>
        <v>19.468926134920139</v>
      </c>
      <c r="K64" s="12">
        <f t="shared" si="11"/>
        <v>379.03908484697644</v>
      </c>
      <c r="L64" s="12">
        <f t="shared" si="12"/>
        <v>1.4313281969504588</v>
      </c>
    </row>
    <row r="65" spans="1:12" x14ac:dyDescent="0.15">
      <c r="A65" s="9">
        <v>44105</v>
      </c>
      <c r="B65" s="8">
        <v>1562.4</v>
      </c>
      <c r="C65" s="14">
        <f t="shared" si="5"/>
        <v>1561.5183974933691</v>
      </c>
      <c r="D65" s="14">
        <f t="shared" si="6"/>
        <v>-3.440277777777776</v>
      </c>
      <c r="E65" s="14">
        <f t="shared" si="7"/>
        <v>0.9924655754060403</v>
      </c>
      <c r="F65" s="14">
        <f t="shared" si="8"/>
        <v>1488.0462335700231</v>
      </c>
      <c r="G65" s="14"/>
      <c r="I65" s="12">
        <f t="shared" si="9"/>
        <v>74.353766429976986</v>
      </c>
      <c r="J65" s="12">
        <f t="shared" si="10"/>
        <v>74.353766429976986</v>
      </c>
      <c r="K65" s="12">
        <f t="shared" si="11"/>
        <v>5528.4825823235724</v>
      </c>
      <c r="L65" s="12">
        <f t="shared" si="12"/>
        <v>4.7589456240384651</v>
      </c>
    </row>
    <row r="66" spans="1:12" x14ac:dyDescent="0.15">
      <c r="A66" s="9">
        <v>44136</v>
      </c>
      <c r="B66" s="8">
        <v>2070.6999999999998</v>
      </c>
      <c r="C66" s="14">
        <f t="shared" si="5"/>
        <v>1713.0397491523167</v>
      </c>
      <c r="D66" s="14">
        <f t="shared" si="6"/>
        <v>-3.440277777777776</v>
      </c>
      <c r="E66" s="14">
        <f t="shared" si="7"/>
        <v>1.1764088736695657</v>
      </c>
      <c r="F66" s="14">
        <f t="shared" si="8"/>
        <v>1744.6066392077601</v>
      </c>
      <c r="G66" s="14"/>
      <c r="I66" s="12">
        <f t="shared" si="9"/>
        <v>326.09336079223976</v>
      </c>
      <c r="J66" s="12">
        <f t="shared" si="10"/>
        <v>326.09336079223976</v>
      </c>
      <c r="K66" s="12">
        <f t="shared" si="11"/>
        <v>106336.87995277786</v>
      </c>
      <c r="L66" s="12">
        <f t="shared" si="12"/>
        <v>15.747977050863948</v>
      </c>
    </row>
    <row r="67" spans="1:12" x14ac:dyDescent="0.15">
      <c r="A67" s="9">
        <v>44166</v>
      </c>
      <c r="B67" s="8">
        <v>3012.7</v>
      </c>
      <c r="C67" s="14">
        <f t="shared" si="5"/>
        <v>1693.7592509513443</v>
      </c>
      <c r="D67" s="14">
        <f t="shared" si="6"/>
        <v>-3.440277777777776</v>
      </c>
      <c r="E67" s="14">
        <f t="shared" si="7"/>
        <v>1.7840676405970137</v>
      </c>
      <c r="F67" s="14">
        <f t="shared" si="8"/>
        <v>3066.0901643856005</v>
      </c>
      <c r="G67" s="14"/>
      <c r="I67" s="12">
        <f t="shared" si="9"/>
        <v>-53.390164385600656</v>
      </c>
      <c r="J67" s="12">
        <f t="shared" si="10"/>
        <v>53.390164385600656</v>
      </c>
      <c r="K67" s="12">
        <f t="shared" si="11"/>
        <v>2850.5096531214608</v>
      </c>
      <c r="L67" s="12">
        <f t="shared" si="12"/>
        <v>1.7721699600225929</v>
      </c>
    </row>
    <row r="68" spans="1:12" x14ac:dyDescent="0.15">
      <c r="A68" s="9">
        <v>44197</v>
      </c>
      <c r="B68" s="8">
        <v>1514</v>
      </c>
      <c r="C68" s="14">
        <f t="shared" si="5"/>
        <v>1668.5887716546454</v>
      </c>
      <c r="D68" s="14">
        <f t="shared" si="6"/>
        <v>-3.440277777777776</v>
      </c>
      <c r="E68" s="14">
        <f t="shared" si="7"/>
        <v>0.91117459558201497</v>
      </c>
      <c r="F68" s="14">
        <f t="shared" si="8"/>
        <v>1551.4845262439617</v>
      </c>
      <c r="G68" s="14"/>
      <c r="I68" s="12">
        <f t="shared" si="9"/>
        <v>-37.484526243961682</v>
      </c>
      <c r="J68" s="12">
        <f t="shared" si="10"/>
        <v>37.484526243961682</v>
      </c>
      <c r="K68" s="12">
        <f t="shared" si="11"/>
        <v>1405.089707734252</v>
      </c>
      <c r="L68" s="12">
        <f t="shared" si="12"/>
        <v>2.4758603859948272</v>
      </c>
    </row>
    <row r="69" spans="1:12" x14ac:dyDescent="0.15">
      <c r="A69" s="9">
        <v>44228</v>
      </c>
      <c r="B69" s="8">
        <v>1197.7</v>
      </c>
      <c r="C69" s="14">
        <f t="shared" si="5"/>
        <v>1644.2794848942024</v>
      </c>
      <c r="D69" s="14">
        <f t="shared" si="6"/>
        <v>-3.440277777777776</v>
      </c>
      <c r="E69" s="14">
        <f t="shared" si="7"/>
        <v>0.73139268343836317</v>
      </c>
      <c r="F69" s="14">
        <f t="shared" si="8"/>
        <v>1226.5906966123646</v>
      </c>
      <c r="G69" s="14"/>
      <c r="I69" s="12">
        <f t="shared" si="9"/>
        <v>-28.890696612364536</v>
      </c>
      <c r="J69" s="12">
        <f t="shared" si="10"/>
        <v>28.890696612364536</v>
      </c>
      <c r="K69" s="12">
        <f t="shared" si="11"/>
        <v>834.67235074769167</v>
      </c>
      <c r="L69" s="12">
        <f t="shared" si="12"/>
        <v>2.4121813987112413</v>
      </c>
    </row>
    <row r="70" spans="1:12" x14ac:dyDescent="0.15">
      <c r="A70" s="9">
        <v>44256</v>
      </c>
      <c r="B70" s="8">
        <v>1600.2</v>
      </c>
      <c r="C70" s="14">
        <f t="shared" si="5"/>
        <v>1748.6728447961764</v>
      </c>
      <c r="D70" s="14">
        <f t="shared" si="6"/>
        <v>-3.440277777777776</v>
      </c>
      <c r="E70" s="14">
        <f t="shared" si="7"/>
        <v>0.89798348165548081</v>
      </c>
      <c r="F70" s="14">
        <f t="shared" si="8"/>
        <v>1424.2879745861339</v>
      </c>
      <c r="G70" s="14"/>
      <c r="I70" s="12">
        <f t="shared" si="9"/>
        <v>175.9120254138661</v>
      </c>
      <c r="J70" s="12">
        <f t="shared" si="10"/>
        <v>175.9120254138661</v>
      </c>
      <c r="K70" s="12">
        <f t="shared" si="11"/>
        <v>30945.040685208674</v>
      </c>
      <c r="L70" s="12">
        <f t="shared" si="12"/>
        <v>10.993127447435702</v>
      </c>
    </row>
    <row r="71" spans="1:12" x14ac:dyDescent="0.15">
      <c r="A71" s="9">
        <v>44287</v>
      </c>
      <c r="B71" s="8">
        <v>1596.8</v>
      </c>
      <c r="C71" s="14">
        <f t="shared" si="5"/>
        <v>1759.8595412755085</v>
      </c>
      <c r="D71" s="14">
        <f t="shared" si="6"/>
        <v>-3.440277777777776</v>
      </c>
      <c r="E71" s="14">
        <f t="shared" si="7"/>
        <v>0.90495197918891823</v>
      </c>
      <c r="F71" s="14">
        <f t="shared" si="8"/>
        <v>1572.0386736228565</v>
      </c>
      <c r="G71" s="14"/>
      <c r="I71" s="12">
        <f t="shared" si="9"/>
        <v>24.761326377143405</v>
      </c>
      <c r="J71" s="12">
        <f t="shared" si="10"/>
        <v>24.761326377143405</v>
      </c>
      <c r="K71" s="12">
        <f t="shared" si="11"/>
        <v>613.12328395541772</v>
      </c>
      <c r="L71" s="12">
        <f t="shared" si="12"/>
        <v>1.5506842671056742</v>
      </c>
    </row>
    <row r="72" spans="1:12" x14ac:dyDescent="0.15">
      <c r="A72" s="9">
        <v>44317</v>
      </c>
      <c r="B72" s="8">
        <v>1602.1</v>
      </c>
      <c r="C72" s="14">
        <f t="shared" si="5"/>
        <v>1649.056385817687</v>
      </c>
      <c r="D72" s="14">
        <f t="shared" si="6"/>
        <v>-3.440277777777776</v>
      </c>
      <c r="E72" s="14">
        <f t="shared" si="7"/>
        <v>0.99297207673183951</v>
      </c>
      <c r="F72" s="14">
        <f t="shared" si="8"/>
        <v>1810.0321970241191</v>
      </c>
      <c r="G72" s="14"/>
      <c r="I72" s="12">
        <f t="shared" si="9"/>
        <v>-207.9321970241192</v>
      </c>
      <c r="J72" s="12">
        <f t="shared" si="10"/>
        <v>207.9321970241192</v>
      </c>
      <c r="K72" s="12">
        <f t="shared" si="11"/>
        <v>43235.798559277129</v>
      </c>
      <c r="L72" s="12">
        <f t="shared" si="12"/>
        <v>12.978727733856765</v>
      </c>
    </row>
    <row r="73" spans="1:12" x14ac:dyDescent="0.15">
      <c r="A73" s="9">
        <v>44348</v>
      </c>
      <c r="B73" s="8">
        <v>1560.2</v>
      </c>
      <c r="C73" s="14">
        <f t="shared" si="5"/>
        <v>1604.4510584644154</v>
      </c>
      <c r="D73" s="14">
        <f t="shared" si="6"/>
        <v>-3.440277777777776</v>
      </c>
      <c r="E73" s="14">
        <f t="shared" si="7"/>
        <v>0.98057909353690464</v>
      </c>
      <c r="F73" s="14">
        <f t="shared" si="8"/>
        <v>1637.1666329492759</v>
      </c>
      <c r="G73" s="14"/>
      <c r="I73" s="12">
        <f t="shared" si="9"/>
        <v>-76.96663294927589</v>
      </c>
      <c r="J73" s="12">
        <f t="shared" si="10"/>
        <v>76.96663294927589</v>
      </c>
      <c r="K73" s="12">
        <f t="shared" si="11"/>
        <v>5923.8625875485614</v>
      </c>
      <c r="L73" s="12">
        <f t="shared" si="12"/>
        <v>4.9331260703291813</v>
      </c>
    </row>
    <row r="74" spans="1:12" x14ac:dyDescent="0.15">
      <c r="A74" s="9">
        <v>44378</v>
      </c>
      <c r="B74" s="8">
        <v>1313.9</v>
      </c>
      <c r="C74" s="14">
        <f t="shared" si="5"/>
        <v>1492.126420300784</v>
      </c>
      <c r="D74" s="14">
        <f t="shared" si="6"/>
        <v>-3.440277777777776</v>
      </c>
      <c r="E74" s="14">
        <f t="shared" si="7"/>
        <v>0.9025038955962903</v>
      </c>
      <c r="F74" s="14">
        <f t="shared" si="8"/>
        <v>1506.4459013309349</v>
      </c>
      <c r="G74" s="14"/>
      <c r="I74" s="12">
        <f t="shared" si="9"/>
        <v>-192.54590133093484</v>
      </c>
      <c r="J74" s="12">
        <f t="shared" si="10"/>
        <v>192.54590133093484</v>
      </c>
      <c r="K74" s="12">
        <f t="shared" si="11"/>
        <v>37073.924119342097</v>
      </c>
      <c r="L74" s="12">
        <f t="shared" si="12"/>
        <v>14.654532409691365</v>
      </c>
    </row>
    <row r="75" spans="1:12" x14ac:dyDescent="0.15">
      <c r="A75" s="9">
        <v>44409</v>
      </c>
      <c r="B75" s="8">
        <v>1032.5</v>
      </c>
      <c r="C75" s="14">
        <f t="shared" si="5"/>
        <v>1356.8796713584334</v>
      </c>
      <c r="D75" s="14">
        <f t="shared" si="6"/>
        <v>-3.440277777777776</v>
      </c>
      <c r="E75" s="14">
        <f t="shared" si="7"/>
        <v>0.78677200245294943</v>
      </c>
      <c r="F75" s="14">
        <f t="shared" si="8"/>
        <v>1238.5978146531543</v>
      </c>
      <c r="G75" s="14"/>
      <c r="I75" s="12">
        <f t="shared" si="9"/>
        <v>-206.09781465315427</v>
      </c>
      <c r="J75" s="12">
        <f t="shared" si="10"/>
        <v>206.09781465315427</v>
      </c>
      <c r="K75" s="12">
        <f t="shared" si="11"/>
        <v>42476.309204805933</v>
      </c>
      <c r="L75" s="12">
        <f t="shared" si="12"/>
        <v>19.961047424034312</v>
      </c>
    </row>
    <row r="76" spans="1:12" x14ac:dyDescent="0.15">
      <c r="A76" s="9">
        <v>44440</v>
      </c>
      <c r="B76" s="8">
        <v>1137.5999999999999</v>
      </c>
      <c r="C76" s="14">
        <f t="shared" si="5"/>
        <v>1313.3717038186733</v>
      </c>
      <c r="D76" s="14">
        <f t="shared" si="6"/>
        <v>-3.440277777777776</v>
      </c>
      <c r="E76" s="14">
        <f t="shared" si="7"/>
        <v>0.87484726933508661</v>
      </c>
      <c r="F76" s="14">
        <f t="shared" si="8"/>
        <v>1204.6217363476692</v>
      </c>
      <c r="G76" s="14"/>
      <c r="I76" s="12">
        <f t="shared" si="9"/>
        <v>-67.021736347669275</v>
      </c>
      <c r="J76" s="12">
        <f t="shared" si="10"/>
        <v>67.021736347669275</v>
      </c>
      <c r="K76" s="12">
        <f t="shared" si="11"/>
        <v>4491.913143056493</v>
      </c>
      <c r="L76" s="12">
        <f t="shared" si="12"/>
        <v>5.8915028435011676</v>
      </c>
    </row>
    <row r="77" spans="1:12" x14ac:dyDescent="0.15">
      <c r="A77" s="9">
        <v>44470</v>
      </c>
      <c r="B77" s="8">
        <v>1493.4</v>
      </c>
      <c r="C77" s="14">
        <f t="shared" si="5"/>
        <v>1413.5869913501647</v>
      </c>
      <c r="D77" s="14">
        <f t="shared" si="6"/>
        <v>-3.440277777777776</v>
      </c>
      <c r="E77" s="14">
        <f t="shared" si="7"/>
        <v>1.0331980618433902</v>
      </c>
      <c r="F77" s="14">
        <f t="shared" si="8"/>
        <v>1300.0618464881322</v>
      </c>
      <c r="G77" s="14"/>
      <c r="I77" s="12">
        <f t="shared" si="9"/>
        <v>193.33815351186786</v>
      </c>
      <c r="J77" s="12">
        <f t="shared" si="10"/>
        <v>193.33815351186786</v>
      </c>
      <c r="K77" s="12">
        <f t="shared" si="11"/>
        <v>37379.641603378579</v>
      </c>
      <c r="L77" s="12">
        <f t="shared" si="12"/>
        <v>12.946173397071639</v>
      </c>
    </row>
    <row r="78" spans="1:12" x14ac:dyDescent="0.15">
      <c r="A78" s="9">
        <v>44501</v>
      </c>
      <c r="B78" s="8">
        <v>2106.1999999999998</v>
      </c>
      <c r="C78" s="14">
        <f t="shared" si="5"/>
        <v>1612.4590072689989</v>
      </c>
      <c r="D78" s="14">
        <f t="shared" si="6"/>
        <v>-3.440277777777776</v>
      </c>
      <c r="E78" s="14">
        <f t="shared" si="7"/>
        <v>1.2590216596350334</v>
      </c>
      <c r="F78" s="14">
        <f t="shared" si="8"/>
        <v>1658.9091070225313</v>
      </c>
      <c r="G78" s="14"/>
      <c r="I78" s="12">
        <f>B78-F78</f>
        <v>447.2908929774685</v>
      </c>
      <c r="J78" s="12">
        <f>ABS(I78)</f>
        <v>447.2908929774685</v>
      </c>
      <c r="K78" s="12">
        <f>I78*I78</f>
        <v>200069.14294058119</v>
      </c>
      <c r="L78" s="12">
        <f>(J78/B78)*100</f>
        <v>21.236867010610034</v>
      </c>
    </row>
    <row r="79" spans="1:12" x14ac:dyDescent="0.15">
      <c r="A79" s="9">
        <v>44531</v>
      </c>
      <c r="B79" s="8">
        <v>2765.5</v>
      </c>
      <c r="C79" s="14">
        <f t="shared" ref="C79:C97" si="13">$O$2*(B79/E67)+(1-$O$2)*(C78+D78)</f>
        <v>1577.6732677487378</v>
      </c>
      <c r="D79" s="14">
        <f t="shared" ref="D79:D97" si="14">$O$3*(C79-C78)+(1-$O$3)*D78</f>
        <v>-3.440277777777776</v>
      </c>
      <c r="E79" s="14">
        <f t="shared" ref="E79:E97" si="15">$O$4*(B79/C79)+(1-$O$4)*E67</f>
        <v>1.7642284337225105</v>
      </c>
      <c r="F79" s="14">
        <f t="shared" ref="F79:F96" si="16">(C78+D78)*E67</f>
        <v>2870.5982483998077</v>
      </c>
      <c r="G79" s="14"/>
      <c r="I79" s="12">
        <f t="shared" ref="I79:I97" si="17">B79-F79</f>
        <v>-105.09824839980774</v>
      </c>
      <c r="J79" s="12">
        <f t="shared" si="10"/>
        <v>105.09824839980774</v>
      </c>
      <c r="K79" s="12">
        <f t="shared" ref="K79:K97" si="18">I79*I79</f>
        <v>11045.641816707692</v>
      </c>
      <c r="L79" s="12">
        <f t="shared" ref="L79:L97" si="19">(J79/B79)*100</f>
        <v>3.8003344205318292</v>
      </c>
    </row>
    <row r="80" spans="1:12" x14ac:dyDescent="0.15">
      <c r="A80" s="9">
        <v>44562</v>
      </c>
      <c r="B80" s="8">
        <v>1446.9</v>
      </c>
      <c r="C80" s="14">
        <f t="shared" si="13"/>
        <v>1581.531940547336</v>
      </c>
      <c r="D80" s="14">
        <f t="shared" si="14"/>
        <v>-3.440277777777776</v>
      </c>
      <c r="E80" s="14">
        <f t="shared" si="15"/>
        <v>0.91352823236928349</v>
      </c>
      <c r="F80" s="14">
        <f t="shared" si="16"/>
        <v>1434.4011079886557</v>
      </c>
      <c r="G80" s="14"/>
      <c r="I80" s="12">
        <f t="shared" si="17"/>
        <v>12.498892011344424</v>
      </c>
      <c r="J80" s="12">
        <f t="shared" ref="J80:J97" si="20">ABS(I80)</f>
        <v>12.498892011344424</v>
      </c>
      <c r="K80" s="12">
        <f t="shared" si="18"/>
        <v>156.22230151124944</v>
      </c>
      <c r="L80" s="12">
        <f t="shared" si="19"/>
        <v>0.86383938152909145</v>
      </c>
    </row>
    <row r="81" spans="1:12" x14ac:dyDescent="0.15">
      <c r="A81" s="9">
        <v>44593</v>
      </c>
      <c r="B81" s="8">
        <v>1259.5999999999999</v>
      </c>
      <c r="C81" s="14">
        <f t="shared" si="13"/>
        <v>1654.7679647861446</v>
      </c>
      <c r="D81" s="14">
        <f t="shared" si="14"/>
        <v>-3.440277777777776</v>
      </c>
      <c r="E81" s="14">
        <f t="shared" si="15"/>
        <v>0.75036105513766738</v>
      </c>
      <c r="F81" s="14">
        <f t="shared" si="16"/>
        <v>1154.2046959447357</v>
      </c>
      <c r="G81" s="14"/>
      <c r="I81" s="12">
        <f t="shared" si="17"/>
        <v>105.39530405526421</v>
      </c>
      <c r="J81" s="12">
        <f t="shared" si="20"/>
        <v>105.39530405526421</v>
      </c>
      <c r="K81" s="12">
        <f t="shared" si="18"/>
        <v>11108.170116901591</v>
      </c>
      <c r="L81" s="12">
        <f t="shared" si="19"/>
        <v>8.3673629767596243</v>
      </c>
    </row>
    <row r="82" spans="1:12" x14ac:dyDescent="0.15">
      <c r="A82" s="9">
        <v>44621</v>
      </c>
      <c r="B82" s="8">
        <v>1599.3</v>
      </c>
      <c r="C82" s="14">
        <f t="shared" si="13"/>
        <v>1720.3208034433283</v>
      </c>
      <c r="D82" s="14">
        <f t="shared" si="14"/>
        <v>-3.440277777777776</v>
      </c>
      <c r="E82" s="14">
        <f t="shared" si="15"/>
        <v>0.91814021054223627</v>
      </c>
      <c r="F82" s="14">
        <f t="shared" si="16"/>
        <v>1482.8649857338653</v>
      </c>
      <c r="G82" s="14"/>
      <c r="I82" s="12">
        <f t="shared" si="17"/>
        <v>116.43501426613466</v>
      </c>
      <c r="J82" s="12">
        <f t="shared" si="20"/>
        <v>116.43501426613466</v>
      </c>
      <c r="K82" s="12">
        <f t="shared" si="18"/>
        <v>13557.112547154982</v>
      </c>
      <c r="L82" s="12">
        <f t="shared" si="19"/>
        <v>7.2803735550637576</v>
      </c>
    </row>
    <row r="83" spans="1:12" x14ac:dyDescent="0.15">
      <c r="A83" s="9">
        <v>44652</v>
      </c>
      <c r="B83" s="8">
        <v>1725</v>
      </c>
      <c r="C83" s="14">
        <f t="shared" si="13"/>
        <v>1817.6053365201947</v>
      </c>
      <c r="D83" s="14">
        <f t="shared" si="14"/>
        <v>-3.440277777777776</v>
      </c>
      <c r="E83" s="14">
        <f t="shared" si="15"/>
        <v>0.93302038783543306</v>
      </c>
      <c r="F83" s="14">
        <f t="shared" si="16"/>
        <v>1553.6944297319503</v>
      </c>
      <c r="G83" s="14"/>
      <c r="I83" s="12">
        <f t="shared" si="17"/>
        <v>171.30557026804968</v>
      </c>
      <c r="J83" s="12">
        <f t="shared" si="20"/>
        <v>171.30557026804968</v>
      </c>
      <c r="K83" s="12">
        <f t="shared" si="18"/>
        <v>29345.598404861707</v>
      </c>
      <c r="L83" s="12">
        <f t="shared" si="19"/>
        <v>9.9307576966985316</v>
      </c>
    </row>
    <row r="84" spans="1:12" x14ac:dyDescent="0.15">
      <c r="A84" s="9">
        <v>44682</v>
      </c>
      <c r="B84" s="8">
        <v>1767.6</v>
      </c>
      <c r="C84" s="14">
        <f t="shared" si="13"/>
        <v>1796.0447320247736</v>
      </c>
      <c r="D84" s="14">
        <f t="shared" si="14"/>
        <v>-3.440277777777776</v>
      </c>
      <c r="E84" s="14">
        <f t="shared" si="15"/>
        <v>0.98736493807049597</v>
      </c>
      <c r="F84" s="14">
        <f t="shared" si="16"/>
        <v>1801.4152459137974</v>
      </c>
      <c r="G84" s="14"/>
      <c r="I84" s="12">
        <f t="shared" si="17"/>
        <v>-33.815245913797526</v>
      </c>
      <c r="J84" s="12">
        <f t="shared" si="20"/>
        <v>33.815245913797526</v>
      </c>
      <c r="K84" s="12">
        <f t="shared" si="18"/>
        <v>1143.4708562106002</v>
      </c>
      <c r="L84" s="12">
        <f t="shared" si="19"/>
        <v>1.9130598502940446</v>
      </c>
    </row>
    <row r="85" spans="1:12" x14ac:dyDescent="0.15">
      <c r="A85" s="9">
        <v>44713</v>
      </c>
      <c r="B85" s="8">
        <v>1817.9</v>
      </c>
      <c r="C85" s="14">
        <f t="shared" si="13"/>
        <v>1825.222005311065</v>
      </c>
      <c r="D85" s="14">
        <f t="shared" si="14"/>
        <v>-3.440277777777776</v>
      </c>
      <c r="E85" s="14">
        <f t="shared" si="15"/>
        <v>0.99038694025075302</v>
      </c>
      <c r="F85" s="14">
        <f t="shared" si="16"/>
        <v>1757.7904508157369</v>
      </c>
      <c r="G85" s="14"/>
      <c r="I85" s="12">
        <f t="shared" si="17"/>
        <v>60.109549184263187</v>
      </c>
      <c r="J85" s="12">
        <f t="shared" si="20"/>
        <v>60.109549184263187</v>
      </c>
      <c r="K85" s="12">
        <f t="shared" si="18"/>
        <v>3613.1579031353554</v>
      </c>
      <c r="L85" s="12">
        <f t="shared" si="19"/>
        <v>3.3065377184808398</v>
      </c>
    </row>
    <row r="86" spans="1:12" x14ac:dyDescent="0.15">
      <c r="A86" s="9">
        <v>44743</v>
      </c>
      <c r="B86" s="8">
        <v>1760.3</v>
      </c>
      <c r="C86" s="14">
        <f t="shared" si="13"/>
        <v>1890.2523304991728</v>
      </c>
      <c r="D86" s="14">
        <f t="shared" si="14"/>
        <v>-3.440277777777776</v>
      </c>
      <c r="E86" s="14">
        <f t="shared" si="15"/>
        <v>0.92080127277140811</v>
      </c>
      <c r="F86" s="14">
        <f t="shared" si="16"/>
        <v>1644.1651060249312</v>
      </c>
      <c r="G86" s="14"/>
      <c r="I86" s="12">
        <f t="shared" si="17"/>
        <v>116.13489397506874</v>
      </c>
      <c r="J86" s="12">
        <f t="shared" si="20"/>
        <v>116.13489397506874</v>
      </c>
      <c r="K86" s="12">
        <f t="shared" si="18"/>
        <v>13487.313598600456</v>
      </c>
      <c r="L86" s="12">
        <f t="shared" si="19"/>
        <v>6.5974489561477441</v>
      </c>
    </row>
    <row r="87" spans="1:12" x14ac:dyDescent="0.15">
      <c r="A87" s="9">
        <v>44774</v>
      </c>
      <c r="B87" s="8">
        <v>1618</v>
      </c>
      <c r="C87" s="14">
        <f t="shared" si="13"/>
        <v>1977.1047217603546</v>
      </c>
      <c r="D87" s="14">
        <f t="shared" si="14"/>
        <v>-3.440277777777776</v>
      </c>
      <c r="E87" s="14">
        <f t="shared" si="15"/>
        <v>0.80688269839117588</v>
      </c>
      <c r="F87" s="14">
        <f t="shared" si="16"/>
        <v>1484.490896971972</v>
      </c>
      <c r="G87" s="14"/>
      <c r="I87" s="12">
        <f t="shared" si="17"/>
        <v>133.50910302802799</v>
      </c>
      <c r="J87" s="12">
        <f t="shared" si="20"/>
        <v>133.50910302802799</v>
      </c>
      <c r="K87" s="12">
        <f t="shared" si="18"/>
        <v>17824.680591348595</v>
      </c>
      <c r="L87" s="12">
        <f t="shared" si="19"/>
        <v>8.2514896803478379</v>
      </c>
    </row>
    <row r="88" spans="1:12" x14ac:dyDescent="0.15">
      <c r="A88" s="9">
        <v>44805</v>
      </c>
      <c r="B88" s="8">
        <v>1744.1</v>
      </c>
      <c r="C88" s="14">
        <f t="shared" si="13"/>
        <v>1984.274813345301</v>
      </c>
      <c r="D88" s="14">
        <f t="shared" si="14"/>
        <v>-3.440277777777776</v>
      </c>
      <c r="E88" s="14">
        <f t="shared" si="15"/>
        <v>0.87746555066244614</v>
      </c>
      <c r="F88" s="14">
        <f t="shared" si="16"/>
        <v>1726.6549494019093</v>
      </c>
      <c r="G88" s="14"/>
      <c r="I88" s="12">
        <f t="shared" si="17"/>
        <v>17.445050598090575</v>
      </c>
      <c r="J88" s="12">
        <f t="shared" si="20"/>
        <v>17.445050598090575</v>
      </c>
      <c r="K88" s="12">
        <f t="shared" si="18"/>
        <v>304.32979036994033</v>
      </c>
      <c r="L88" s="12">
        <f t="shared" si="19"/>
        <v>1.0002322457479833</v>
      </c>
    </row>
    <row r="89" spans="1:12" x14ac:dyDescent="0.15">
      <c r="A89" s="9">
        <v>44835</v>
      </c>
      <c r="B89" s="8">
        <v>1830.9</v>
      </c>
      <c r="C89" s="14">
        <f t="shared" si="13"/>
        <v>1869.7519952997907</v>
      </c>
      <c r="D89" s="14">
        <f t="shared" si="14"/>
        <v>-3.440277777777776</v>
      </c>
      <c r="E89" s="14">
        <f t="shared" si="15"/>
        <v>0.99884220650441247</v>
      </c>
      <c r="F89" s="14">
        <f t="shared" si="16"/>
        <v>2046.5944029808172</v>
      </c>
      <c r="G89" s="14"/>
      <c r="I89" s="12">
        <f t="shared" si="17"/>
        <v>-215.69440298081713</v>
      </c>
      <c r="J89" s="12">
        <f t="shared" si="20"/>
        <v>215.69440298081713</v>
      </c>
      <c r="K89" s="12">
        <f t="shared" si="18"/>
        <v>46524.075477251135</v>
      </c>
      <c r="L89" s="12">
        <f t="shared" si="19"/>
        <v>11.780785568890552</v>
      </c>
    </row>
    <row r="90" spans="1:12" x14ac:dyDescent="0.15">
      <c r="A90" s="9">
        <v>44866</v>
      </c>
      <c r="B90" s="8">
        <v>2292.6</v>
      </c>
      <c r="C90" s="14">
        <f t="shared" si="13"/>
        <v>1842.16835345562</v>
      </c>
      <c r="D90" s="14">
        <f t="shared" si="14"/>
        <v>-3.440277777777776</v>
      </c>
      <c r="E90" s="14">
        <f t="shared" si="15"/>
        <v>1.2497862310844998</v>
      </c>
      <c r="F90" s="14">
        <f t="shared" si="16"/>
        <v>2349.7268759908743</v>
      </c>
      <c r="G90" s="14"/>
      <c r="I90" s="12">
        <f t="shared" si="17"/>
        <v>-57.126875990874396</v>
      </c>
      <c r="J90" s="12">
        <f t="shared" si="20"/>
        <v>57.126875990874396</v>
      </c>
      <c r="K90" s="12">
        <f t="shared" si="18"/>
        <v>3263.4799604767413</v>
      </c>
      <c r="L90" s="12">
        <f t="shared" si="19"/>
        <v>2.4917942942892086</v>
      </c>
    </row>
    <row r="91" spans="1:12" x14ac:dyDescent="0.15">
      <c r="A91" s="9">
        <v>44896</v>
      </c>
      <c r="B91" s="8">
        <v>3088.2</v>
      </c>
      <c r="C91" s="14">
        <f t="shared" si="13"/>
        <v>1791.7575205713974</v>
      </c>
      <c r="D91" s="14">
        <f t="shared" si="14"/>
        <v>-3.440277777777776</v>
      </c>
      <c r="E91" s="14">
        <f t="shared" si="15"/>
        <v>1.7383429277013389</v>
      </c>
      <c r="F91" s="14">
        <f t="shared" si="16"/>
        <v>3243.9363529947254</v>
      </c>
      <c r="G91" s="14"/>
      <c r="I91" s="12">
        <f t="shared" si="17"/>
        <v>-155.73635299472562</v>
      </c>
      <c r="J91" s="12">
        <f t="shared" si="20"/>
        <v>155.73635299472562</v>
      </c>
      <c r="K91" s="12">
        <f t="shared" si="18"/>
        <v>24253.811644097783</v>
      </c>
      <c r="L91" s="12">
        <f t="shared" si="19"/>
        <v>5.0429490640089902</v>
      </c>
    </row>
    <row r="92" spans="1:12" x14ac:dyDescent="0.15">
      <c r="A92" s="9">
        <v>44927</v>
      </c>
      <c r="B92" s="8">
        <v>1687.8</v>
      </c>
      <c r="C92" s="14">
        <f t="shared" si="13"/>
        <v>1819.841150561931</v>
      </c>
      <c r="D92" s="14">
        <f t="shared" si="14"/>
        <v>-3.440277777777776</v>
      </c>
      <c r="E92" s="14">
        <f t="shared" si="15"/>
        <v>0.92238517692229727</v>
      </c>
      <c r="F92" s="14">
        <f t="shared" si="16"/>
        <v>1633.6782897247663</v>
      </c>
      <c r="G92" s="14"/>
      <c r="I92" s="12">
        <f t="shared" si="17"/>
        <v>54.121710275233681</v>
      </c>
      <c r="J92" s="12">
        <f t="shared" si="20"/>
        <v>54.121710275233681</v>
      </c>
      <c r="K92" s="12">
        <f t="shared" si="18"/>
        <v>2929.1595231163351</v>
      </c>
      <c r="L92" s="12">
        <f t="shared" si="19"/>
        <v>3.2066423909961896</v>
      </c>
    </row>
    <row r="93" spans="1:12" x14ac:dyDescent="0.15">
      <c r="A93" s="9">
        <v>44958</v>
      </c>
      <c r="B93" s="8">
        <v>1356.7</v>
      </c>
      <c r="C93" s="14">
        <f t="shared" si="13"/>
        <v>1811.9642759039239</v>
      </c>
      <c r="D93" s="14">
        <f t="shared" si="14"/>
        <v>-3.440277777777776</v>
      </c>
      <c r="E93" s="14">
        <f t="shared" si="15"/>
        <v>0.74933274052085608</v>
      </c>
      <c r="F93" s="14">
        <f t="shared" si="16"/>
        <v>1362.9564754552971</v>
      </c>
      <c r="G93" s="14"/>
      <c r="I93" s="12">
        <f t="shared" si="17"/>
        <v>-6.2564754552970498</v>
      </c>
      <c r="J93" s="12">
        <f t="shared" si="20"/>
        <v>6.2564754552970498</v>
      </c>
      <c r="K93" s="12">
        <f t="shared" si="18"/>
        <v>39.143485122734425</v>
      </c>
      <c r="L93" s="12">
        <f t="shared" si="19"/>
        <v>0.46115393641166424</v>
      </c>
    </row>
    <row r="94" spans="1:12" x14ac:dyDescent="0.15">
      <c r="A94" s="9">
        <v>44986</v>
      </c>
      <c r="B94" s="8">
        <v>1674.2</v>
      </c>
      <c r="C94" s="14">
        <f t="shared" si="13"/>
        <v>1816.4760606674995</v>
      </c>
      <c r="D94" s="14">
        <f t="shared" si="14"/>
        <v>-3.440277777777776</v>
      </c>
      <c r="E94" s="14">
        <f t="shared" si="15"/>
        <v>0.92038985818855634</v>
      </c>
      <c r="F94" s="14">
        <f t="shared" si="16"/>
        <v>1660.4786044102268</v>
      </c>
      <c r="G94" s="14"/>
      <c r="I94" s="12">
        <f t="shared" si="17"/>
        <v>13.721395589773238</v>
      </c>
      <c r="J94" s="12">
        <f t="shared" si="20"/>
        <v>13.721395589773238</v>
      </c>
      <c r="K94" s="12">
        <f t="shared" si="18"/>
        <v>188.27669693104846</v>
      </c>
      <c r="L94" s="12">
        <f t="shared" si="19"/>
        <v>0.81957923723409609</v>
      </c>
    </row>
    <row r="95" spans="1:12" x14ac:dyDescent="0.15">
      <c r="A95" s="9">
        <v>45017</v>
      </c>
      <c r="B95" s="8">
        <v>1820.6</v>
      </c>
      <c r="C95" s="14">
        <f t="shared" si="13"/>
        <v>1886.6041771257574</v>
      </c>
      <c r="D95" s="14">
        <f t="shared" si="14"/>
        <v>-3.440277777777776</v>
      </c>
      <c r="E95" s="14">
        <f t="shared" si="15"/>
        <v>0.95338410255132078</v>
      </c>
      <c r="F95" s="14">
        <f t="shared" si="16"/>
        <v>1691.5993493112862</v>
      </c>
      <c r="G95" s="14"/>
      <c r="I95" s="12">
        <f t="shared" si="17"/>
        <v>129.00065068871368</v>
      </c>
      <c r="J95" s="12">
        <f t="shared" si="20"/>
        <v>129.00065068871368</v>
      </c>
      <c r="K95" s="12">
        <f t="shared" si="18"/>
        <v>16641.167878111526</v>
      </c>
      <c r="L95" s="12">
        <f t="shared" si="19"/>
        <v>7.0856119240203057</v>
      </c>
    </row>
    <row r="96" spans="1:12" x14ac:dyDescent="0.15">
      <c r="A96" s="9">
        <v>45047</v>
      </c>
      <c r="B96" s="8">
        <v>1833.5</v>
      </c>
      <c r="C96" s="14">
        <f t="shared" si="13"/>
        <v>1869.2224041820746</v>
      </c>
      <c r="D96" s="14">
        <f t="shared" si="14"/>
        <v>-3.440277777777776</v>
      </c>
      <c r="E96" s="14">
        <f t="shared" si="15"/>
        <v>0.98324318983207881</v>
      </c>
      <c r="F96" s="14">
        <f t="shared" si="16"/>
        <v>1859.3700068563116</v>
      </c>
      <c r="G96" s="14"/>
      <c r="I96" s="12">
        <f t="shared" si="17"/>
        <v>-25.870006856311647</v>
      </c>
      <c r="J96" s="12">
        <f t="shared" si="20"/>
        <v>25.870006856311647</v>
      </c>
      <c r="K96" s="12">
        <f t="shared" si="18"/>
        <v>669.2572547456117</v>
      </c>
      <c r="L96" s="12">
        <f t="shared" si="19"/>
        <v>1.410963013706662</v>
      </c>
    </row>
    <row r="97" spans="1:12" x14ac:dyDescent="0.15">
      <c r="A97" s="9">
        <v>45078</v>
      </c>
      <c r="B97" s="8">
        <v>1777.5</v>
      </c>
      <c r="C97" s="14">
        <f t="shared" si="13"/>
        <v>1827.9878039290845</v>
      </c>
      <c r="D97" s="14">
        <f t="shared" si="14"/>
        <v>-3.440277777777776</v>
      </c>
      <c r="E97" s="14">
        <f t="shared" si="15"/>
        <v>0.97892617649138969</v>
      </c>
      <c r="F97" s="14">
        <f>(C96+D96)*E85</f>
        <v>1847.8462513440952</v>
      </c>
      <c r="G97" s="11">
        <f>F97</f>
        <v>1847.8462513440952</v>
      </c>
      <c r="H97" s="13" t="s">
        <v>75</v>
      </c>
      <c r="I97" s="12">
        <f t="shared" si="17"/>
        <v>-70.346251344095208</v>
      </c>
      <c r="J97" s="12">
        <f t="shared" si="20"/>
        <v>70.346251344095208</v>
      </c>
      <c r="K97" s="12">
        <f t="shared" si="18"/>
        <v>4948.595078166617</v>
      </c>
      <c r="L97" s="12">
        <f t="shared" si="19"/>
        <v>3.9575950123260317</v>
      </c>
    </row>
    <row r="98" spans="1:12" x14ac:dyDescent="0.15">
      <c r="A98" s="9">
        <v>45108</v>
      </c>
      <c r="F98" s="14"/>
      <c r="G98" s="14">
        <f>($C$97+($D$97*H98))*E86</f>
        <v>1680.0456843120473</v>
      </c>
      <c r="H98" s="22">
        <v>1</v>
      </c>
      <c r="I98" s="23"/>
    </row>
    <row r="99" spans="1:12" x14ac:dyDescent="0.15">
      <c r="A99" s="9">
        <v>45139</v>
      </c>
      <c r="F99" s="14"/>
      <c r="G99" s="14">
        <f t="shared" ref="G99:G109" si="21">($C$97+($D$97*H99))*E87</f>
        <v>1469.4199306273624</v>
      </c>
      <c r="H99" s="22">
        <v>2</v>
      </c>
      <c r="I99" s="23"/>
    </row>
    <row r="100" spans="1:12" x14ac:dyDescent="0.15">
      <c r="A100" s="9">
        <v>45170</v>
      </c>
      <c r="F100" s="14"/>
      <c r="G100" s="14">
        <f t="shared" si="21"/>
        <v>1594.9401492747411</v>
      </c>
      <c r="H100" s="22">
        <v>3</v>
      </c>
      <c r="I100" s="23"/>
      <c r="J100" s="28" t="s">
        <v>48</v>
      </c>
      <c r="K100" s="28" t="s">
        <v>49</v>
      </c>
      <c r="L100" s="28" t="s">
        <v>50</v>
      </c>
    </row>
    <row r="101" spans="1:12" x14ac:dyDescent="0.15">
      <c r="A101" s="9">
        <v>45200</v>
      </c>
      <c r="F101" s="14"/>
      <c r="G101" s="14">
        <f t="shared" si="21"/>
        <v>1812.1261929535074</v>
      </c>
      <c r="H101" s="22">
        <v>4</v>
      </c>
      <c r="I101" s="23"/>
      <c r="J101" s="12">
        <f>AVERAGE(J14:J97)</f>
        <v>78.976078425292854</v>
      </c>
      <c r="K101" s="12">
        <f t="shared" ref="K101:L101" si="22">AVERAGE(K14:K97)</f>
        <v>13548.401164924715</v>
      </c>
      <c r="L101" s="35">
        <f t="shared" si="22"/>
        <v>4.9394062339784961</v>
      </c>
    </row>
    <row r="102" spans="1:12" x14ac:dyDescent="0.15">
      <c r="A102" s="9">
        <v>45231</v>
      </c>
      <c r="F102" s="14"/>
      <c r="G102" s="14">
        <f t="shared" si="21"/>
        <v>2263.0959289520988</v>
      </c>
      <c r="H102" s="22">
        <v>5</v>
      </c>
      <c r="I102" s="23"/>
    </row>
    <row r="103" spans="1:12" x14ac:dyDescent="0.15">
      <c r="A103" s="9">
        <v>45261</v>
      </c>
      <c r="F103" s="14"/>
      <c r="G103" s="14">
        <f t="shared" si="21"/>
        <v>3141.7873756184576</v>
      </c>
      <c r="H103" s="22">
        <v>6</v>
      </c>
      <c r="I103" s="23"/>
      <c r="K103" s="28" t="s">
        <v>51</v>
      </c>
    </row>
    <row r="104" spans="1:12" x14ac:dyDescent="0.15">
      <c r="A104" s="9">
        <v>45292</v>
      </c>
      <c r="F104" s="14"/>
      <c r="G104" s="14">
        <f t="shared" si="21"/>
        <v>1663.8960253519085</v>
      </c>
      <c r="H104" s="22">
        <v>7</v>
      </c>
      <c r="I104" s="23"/>
      <c r="K104" s="14">
        <f>SQRT(K101)</f>
        <v>116.39759948093739</v>
      </c>
    </row>
    <row r="105" spans="1:12" x14ac:dyDescent="0.15">
      <c r="A105" s="9">
        <v>45323</v>
      </c>
      <c r="F105" s="14"/>
      <c r="G105" s="14">
        <f t="shared" si="21"/>
        <v>1349.1478085538806</v>
      </c>
      <c r="H105" s="22">
        <v>8</v>
      </c>
      <c r="I105" s="23"/>
    </row>
    <row r="106" spans="1:12" x14ac:dyDescent="0.15">
      <c r="A106" s="9">
        <v>45352</v>
      </c>
      <c r="F106" s="14"/>
      <c r="G106" s="14">
        <f t="shared" si="21"/>
        <v>1653.9638646445374</v>
      </c>
      <c r="H106" s="22">
        <v>9</v>
      </c>
      <c r="I106" s="23"/>
    </row>
    <row r="107" spans="1:12" x14ac:dyDescent="0.15">
      <c r="A107" s="9">
        <v>45383</v>
      </c>
      <c r="F107" s="14"/>
      <c r="G107" s="14">
        <f t="shared" si="21"/>
        <v>1709.9754505067508</v>
      </c>
      <c r="H107" s="22">
        <v>10</v>
      </c>
      <c r="I107" s="23"/>
    </row>
    <row r="108" spans="1:12" x14ac:dyDescent="0.15">
      <c r="A108" s="9">
        <v>45413</v>
      </c>
      <c r="F108" s="14"/>
      <c r="G108" s="14">
        <f t="shared" si="21"/>
        <v>1760.1476326519328</v>
      </c>
      <c r="H108" s="22">
        <v>11</v>
      </c>
      <c r="I108" s="23"/>
    </row>
    <row r="109" spans="1:12" x14ac:dyDescent="0.15">
      <c r="A109" s="16">
        <v>45444</v>
      </c>
      <c r="F109" s="14"/>
      <c r="G109" s="24">
        <f t="shared" si="21"/>
        <v>1749.0517759203713</v>
      </c>
      <c r="H109" s="22">
        <v>12</v>
      </c>
      <c r="I109" s="23"/>
    </row>
    <row r="110" spans="1:12" x14ac:dyDescent="0.15">
      <c r="I110" s="23"/>
    </row>
    <row r="111" spans="1:12" x14ac:dyDescent="0.15">
      <c r="I111" s="23"/>
    </row>
    <row r="112" spans="1:12" x14ac:dyDescent="0.15">
      <c r="I112" s="23"/>
    </row>
    <row r="113" spans="9:9" x14ac:dyDescent="0.15">
      <c r="I113" s="23"/>
    </row>
    <row r="114" spans="9:9" x14ac:dyDescent="0.15">
      <c r="I114" s="23"/>
    </row>
    <row r="115" spans="9:9" x14ac:dyDescent="0.15">
      <c r="I115" s="23"/>
    </row>
    <row r="116" spans="9:9" x14ac:dyDescent="0.15">
      <c r="I116" s="23"/>
    </row>
    <row r="117" spans="9:9" x14ac:dyDescent="0.15">
      <c r="I117" s="23"/>
    </row>
    <row r="118" spans="9:9" x14ac:dyDescent="0.15">
      <c r="I118" s="23"/>
    </row>
    <row r="119" spans="9:9" x14ac:dyDescent="0.15">
      <c r="I119" s="23"/>
    </row>
    <row r="120" spans="9:9" x14ac:dyDescent="0.15">
      <c r="I120" s="23"/>
    </row>
    <row r="121" spans="9:9" x14ac:dyDescent="0.15">
      <c r="I121" s="23"/>
    </row>
    <row r="122" spans="9:9" x14ac:dyDescent="0.15">
      <c r="I122" s="23"/>
    </row>
    <row r="123" spans="9:9" x14ac:dyDescent="0.15">
      <c r="I123" s="23"/>
    </row>
    <row r="124" spans="9:9" x14ac:dyDescent="0.15">
      <c r="I124" s="23"/>
    </row>
    <row r="125" spans="9:9" x14ac:dyDescent="0.15">
      <c r="I125" s="23"/>
    </row>
    <row r="126" spans="9:9" x14ac:dyDescent="0.15">
      <c r="I126" s="23"/>
    </row>
    <row r="127" spans="9:9" x14ac:dyDescent="0.15">
      <c r="I127" s="23"/>
    </row>
    <row r="128" spans="9:9" x14ac:dyDescent="0.15">
      <c r="I128" s="23"/>
    </row>
    <row r="129" spans="9:9" x14ac:dyDescent="0.15">
      <c r="I129" s="23"/>
    </row>
    <row r="130" spans="9:9" x14ac:dyDescent="0.15">
      <c r="I130" s="23"/>
    </row>
    <row r="131" spans="9:9" x14ac:dyDescent="0.15">
      <c r="I131" s="23"/>
    </row>
    <row r="132" spans="9:9" x14ac:dyDescent="0.15">
      <c r="I132" s="23"/>
    </row>
    <row r="133" spans="9:9" x14ac:dyDescent="0.15">
      <c r="I133" s="23"/>
    </row>
    <row r="134" spans="9:9" x14ac:dyDescent="0.15">
      <c r="I134" s="23"/>
    </row>
    <row r="135" spans="9:9" x14ac:dyDescent="0.15">
      <c r="I135" s="23"/>
    </row>
    <row r="136" spans="9:9" x14ac:dyDescent="0.15">
      <c r="I136" s="23"/>
    </row>
    <row r="137" spans="9:9" x14ac:dyDescent="0.15">
      <c r="I137" s="23"/>
    </row>
    <row r="138" spans="9:9" x14ac:dyDescent="0.15">
      <c r="I138" s="23"/>
    </row>
    <row r="139" spans="9:9" x14ac:dyDescent="0.15">
      <c r="I139" s="23"/>
    </row>
    <row r="140" spans="9:9" x14ac:dyDescent="0.15">
      <c r="I140" s="23"/>
    </row>
    <row r="141" spans="9:9" x14ac:dyDescent="0.15">
      <c r="I141" s="23"/>
    </row>
  </sheetData>
  <phoneticPr fontId="7" type="noConversion"/>
  <pageMargins left="0.7" right="0.7" top="0.75" bottom="0.75" header="0.3" footer="0.3"/>
  <pageSetup paperSize="0" orientation="portrait" horizontalDpi="0" verticalDpi="0" copies="0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4F219-BA3C-784D-9EFF-C6F34231EC74}">
  <dimension ref="A1:D13"/>
  <sheetViews>
    <sheetView zoomScaleNormal="100" workbookViewId="0">
      <selection activeCell="D19" sqref="D19"/>
    </sheetView>
  </sheetViews>
  <sheetFormatPr baseColWidth="10" defaultRowHeight="15" x14ac:dyDescent="0.2"/>
  <cols>
    <col min="4" max="4" width="7.6640625" bestFit="1" customWidth="1"/>
  </cols>
  <sheetData>
    <row r="1" spans="1:4" x14ac:dyDescent="0.2">
      <c r="A1" t="s">
        <v>89</v>
      </c>
      <c r="B1" t="s">
        <v>91</v>
      </c>
      <c r="C1" t="s">
        <v>56</v>
      </c>
      <c r="D1" t="s">
        <v>44</v>
      </c>
    </row>
    <row r="2" spans="1:4" x14ac:dyDescent="0.2">
      <c r="A2" s="9">
        <v>45108</v>
      </c>
      <c r="B2" s="8">
        <v>1740.5</v>
      </c>
      <c r="C2" s="11">
        <v>1680.0456843120473</v>
      </c>
      <c r="D2" s="11">
        <f>B2-C2</f>
        <v>60.454315687952658</v>
      </c>
    </row>
    <row r="3" spans="1:4" x14ac:dyDescent="0.2">
      <c r="A3" s="16">
        <v>45139</v>
      </c>
      <c r="B3" s="37">
        <v>1629.2</v>
      </c>
      <c r="C3" s="15">
        <v>1469.4199306273624</v>
      </c>
      <c r="D3" s="15">
        <f t="shared" ref="D3:D13" si="0">B3-C3</f>
        <v>159.78006937263763</v>
      </c>
    </row>
    <row r="4" spans="1:4" x14ac:dyDescent="0.2">
      <c r="A4" s="16">
        <v>45170</v>
      </c>
      <c r="B4" s="37">
        <v>1782.4</v>
      </c>
      <c r="C4" s="15">
        <v>1594.9401492747411</v>
      </c>
      <c r="D4" s="15">
        <f t="shared" si="0"/>
        <v>187.459850725259</v>
      </c>
    </row>
    <row r="5" spans="1:4" x14ac:dyDescent="0.2">
      <c r="A5" s="9">
        <v>45200</v>
      </c>
      <c r="B5" s="8">
        <v>1832.3</v>
      </c>
      <c r="C5" s="11">
        <v>1812.1261929535074</v>
      </c>
      <c r="D5" s="11">
        <f t="shared" si="0"/>
        <v>20.173807046492584</v>
      </c>
    </row>
    <row r="6" spans="1:4" x14ac:dyDescent="0.2">
      <c r="A6" s="9">
        <v>45231</v>
      </c>
      <c r="B6" s="8">
        <v>2363.6999999999998</v>
      </c>
      <c r="C6" s="11">
        <v>2263.0959289520988</v>
      </c>
      <c r="D6" s="11">
        <f t="shared" si="0"/>
        <v>100.60407104790102</v>
      </c>
    </row>
    <row r="7" spans="1:4" x14ac:dyDescent="0.2">
      <c r="A7" s="16">
        <v>45261</v>
      </c>
      <c r="B7" s="37">
        <v>3189</v>
      </c>
      <c r="C7" s="15">
        <v>3141.7873756184576</v>
      </c>
      <c r="D7" s="15">
        <f t="shared" si="0"/>
        <v>47.212624381542355</v>
      </c>
    </row>
    <row r="8" spans="1:4" x14ac:dyDescent="0.2">
      <c r="A8" s="16">
        <v>45292</v>
      </c>
      <c r="B8" s="37">
        <v>1672.6</v>
      </c>
      <c r="C8" s="15">
        <v>1663.8960253519085</v>
      </c>
      <c r="D8" s="15">
        <f t="shared" si="0"/>
        <v>8.7039746480913891</v>
      </c>
    </row>
    <row r="9" spans="1:4" x14ac:dyDescent="0.2">
      <c r="A9" s="9">
        <v>45323</v>
      </c>
      <c r="B9" s="8">
        <v>1435.1</v>
      </c>
      <c r="C9" s="11">
        <v>1349.1478085538806</v>
      </c>
      <c r="D9" s="11">
        <f t="shared" si="0"/>
        <v>85.952191446119286</v>
      </c>
    </row>
    <row r="10" spans="1:4" x14ac:dyDescent="0.2">
      <c r="A10" s="9">
        <v>45352</v>
      </c>
      <c r="B10" s="8">
        <v>1729.1</v>
      </c>
      <c r="C10" s="11">
        <v>1653.9638646445374</v>
      </c>
      <c r="D10" s="11">
        <f t="shared" si="0"/>
        <v>75.136135355462557</v>
      </c>
    </row>
    <row r="11" spans="1:4" x14ac:dyDescent="0.2">
      <c r="A11" s="9">
        <v>45383</v>
      </c>
      <c r="B11" s="8">
        <v>1728.6</v>
      </c>
      <c r="C11" s="11">
        <v>1709.9754505067508</v>
      </c>
      <c r="D11" s="11">
        <f t="shared" si="0"/>
        <v>18.624549493249106</v>
      </c>
    </row>
    <row r="12" spans="1:4" x14ac:dyDescent="0.2">
      <c r="A12" s="9">
        <v>45413</v>
      </c>
      <c r="B12" s="8">
        <v>1806.4</v>
      </c>
      <c r="C12" s="11">
        <v>1760.1476326519328</v>
      </c>
      <c r="D12" s="11">
        <f t="shared" si="0"/>
        <v>46.25236734806731</v>
      </c>
    </row>
    <row r="13" spans="1:4" x14ac:dyDescent="0.2">
      <c r="A13" s="9">
        <v>45444</v>
      </c>
      <c r="B13" s="8">
        <v>1859</v>
      </c>
      <c r="C13" s="11">
        <v>1749.0517759203713</v>
      </c>
      <c r="D13" s="11">
        <f t="shared" si="0"/>
        <v>109.94822407962874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83</vt:i4>
      </vt:variant>
    </vt:vector>
  </HeadingPairs>
  <TitlesOfParts>
    <vt:vector size="91" baseType="lpstr">
      <vt:lpstr>Data1</vt:lpstr>
      <vt:lpstr>Exercise 1 SES</vt:lpstr>
      <vt:lpstr>Exercise 1 SES (Optimised)</vt:lpstr>
      <vt:lpstr>Exercise 1 HES</vt:lpstr>
      <vt:lpstr>Exercise 1 HES (Optimised)</vt:lpstr>
      <vt:lpstr>Exercise 2 WES</vt:lpstr>
      <vt:lpstr>Exercise 2 WES (Optimised)</vt:lpstr>
      <vt:lpstr>Actual vs Forecast</vt:lpstr>
      <vt:lpstr>A3348582J</vt:lpstr>
      <vt:lpstr>A3348582J_Data</vt:lpstr>
      <vt:lpstr>A3348582J_Latest</vt:lpstr>
      <vt:lpstr>A3348585R</vt:lpstr>
      <vt:lpstr>A3348585R_Data</vt:lpstr>
      <vt:lpstr>A3348585R_Latest</vt:lpstr>
      <vt:lpstr>A3348588W</vt:lpstr>
      <vt:lpstr>A3348588W_Data</vt:lpstr>
      <vt:lpstr>A3348588W_Latest</vt:lpstr>
      <vt:lpstr>A3348591K</vt:lpstr>
      <vt:lpstr>A3348591K_Data</vt:lpstr>
      <vt:lpstr>A3348591K_Latest</vt:lpstr>
      <vt:lpstr>A3348594T</vt:lpstr>
      <vt:lpstr>A3348594T_Data</vt:lpstr>
      <vt:lpstr>A3348594T_Latest</vt:lpstr>
      <vt:lpstr>A3348597X</vt:lpstr>
      <vt:lpstr>A3348597X_Data</vt:lpstr>
      <vt:lpstr>A3348597X_Latest</vt:lpstr>
      <vt:lpstr>A3348600A</vt:lpstr>
      <vt:lpstr>A3348600A_Data</vt:lpstr>
      <vt:lpstr>A3348600A_Latest</vt:lpstr>
      <vt:lpstr>A3348603J</vt:lpstr>
      <vt:lpstr>A3348603J_Data</vt:lpstr>
      <vt:lpstr>A3348603J_Latest</vt:lpstr>
      <vt:lpstr>A3348606R</vt:lpstr>
      <vt:lpstr>A3348606R_Data</vt:lpstr>
      <vt:lpstr>A3348606R_Latest</vt:lpstr>
      <vt:lpstr>A3348609W</vt:lpstr>
      <vt:lpstr>A3348609W_Data</vt:lpstr>
      <vt:lpstr>A3348609W_Latest</vt:lpstr>
      <vt:lpstr>A3348612K</vt:lpstr>
      <vt:lpstr>A3348612K_Data</vt:lpstr>
      <vt:lpstr>A3348612K_Latest</vt:lpstr>
      <vt:lpstr>A3348615T</vt:lpstr>
      <vt:lpstr>A3348615T_Data</vt:lpstr>
      <vt:lpstr>A3348615T_Latest</vt:lpstr>
      <vt:lpstr>'Exercise 2 WES'!A3348618X</vt:lpstr>
      <vt:lpstr>'Exercise 2 WES (Optimised)'!A3348618X</vt:lpstr>
      <vt:lpstr>A3348618X</vt:lpstr>
      <vt:lpstr>'Exercise 2 WES'!A3348618X_Data</vt:lpstr>
      <vt:lpstr>'Exercise 2 WES (Optimised)'!A3348618X_Data</vt:lpstr>
      <vt:lpstr>A3348618X_Data</vt:lpstr>
      <vt:lpstr>A3348618X_Latest</vt:lpstr>
      <vt:lpstr>'Exercise 1 HES'!A3348621L</vt:lpstr>
      <vt:lpstr>'Exercise 1 HES (Optimised)'!A3348621L</vt:lpstr>
      <vt:lpstr>'Exercise 1 SES'!A3348621L</vt:lpstr>
      <vt:lpstr>'Exercise 1 SES (Optimised)'!A3348621L</vt:lpstr>
      <vt:lpstr>A3348621L</vt:lpstr>
      <vt:lpstr>'Exercise 1 HES'!A3348621L_Data</vt:lpstr>
      <vt:lpstr>'Exercise 1 HES (Optimised)'!A3348621L_Data</vt:lpstr>
      <vt:lpstr>'Exercise 1 SES'!A3348621L_Data</vt:lpstr>
      <vt:lpstr>'Exercise 1 SES (Optimised)'!A3348621L_Data</vt:lpstr>
      <vt:lpstr>A3348621L_Data</vt:lpstr>
      <vt:lpstr>A3348621L_Latest</vt:lpstr>
      <vt:lpstr>A3348624V</vt:lpstr>
      <vt:lpstr>A3348624V_Data</vt:lpstr>
      <vt:lpstr>A3348624V_Latest</vt:lpstr>
      <vt:lpstr>A3348627A</vt:lpstr>
      <vt:lpstr>A3348627A_Data</vt:lpstr>
      <vt:lpstr>A3348627A_Latest</vt:lpstr>
      <vt:lpstr>A3348630R</vt:lpstr>
      <vt:lpstr>A3348630R_Data</vt:lpstr>
      <vt:lpstr>A3348630R_Latest</vt:lpstr>
      <vt:lpstr>A3348633W</vt:lpstr>
      <vt:lpstr>A3348633W_Data</vt:lpstr>
      <vt:lpstr>A3348633W_Latest</vt:lpstr>
      <vt:lpstr>A3348636C</vt:lpstr>
      <vt:lpstr>A3348636C_Data</vt:lpstr>
      <vt:lpstr>A3348636C_Latest</vt:lpstr>
      <vt:lpstr>A3348639K</vt:lpstr>
      <vt:lpstr>A3348639K_Data</vt:lpstr>
      <vt:lpstr>A3348639K_Latest</vt:lpstr>
      <vt:lpstr>A3348642X</vt:lpstr>
      <vt:lpstr>A3348642X_Data</vt:lpstr>
      <vt:lpstr>A3348642X_Latest</vt:lpstr>
      <vt:lpstr>Date_Range</vt:lpstr>
      <vt:lpstr>'Exercise 1 HES'!Date_Range_Data</vt:lpstr>
      <vt:lpstr>'Exercise 1 HES (Optimised)'!Date_Range_Data</vt:lpstr>
      <vt:lpstr>'Exercise 1 SES'!Date_Range_Data</vt:lpstr>
      <vt:lpstr>'Exercise 1 SES (Optimised)'!Date_Range_Data</vt:lpstr>
      <vt:lpstr>'Exercise 2 WES'!Date_Range_Data</vt:lpstr>
      <vt:lpstr>'Exercise 2 WES (Optimised)'!Date_Range_Data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Zin Zin Aye Chan</cp:lastModifiedBy>
  <dcterms:created xsi:type="dcterms:W3CDTF">2024-07-23T04:48:38Z</dcterms:created>
  <dcterms:modified xsi:type="dcterms:W3CDTF">2025-03-09T11:18:05Z</dcterms:modified>
</cp:coreProperties>
</file>